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824"/>
  <workbookPr autoCompressPictures="0" defaultThemeVersion="124226"/>
  <mc:AlternateContent xmlns:mc="http://schemas.openxmlformats.org/markup-compatibility/2006">
    <mc:Choice Requires="x15">
      <x15ac:absPath xmlns:x15ac="http://schemas.microsoft.com/office/spreadsheetml/2010/11/ac" url="/Users/adityaatreya/Documents/HIQurate Ops/Assessments /"/>
    </mc:Choice>
  </mc:AlternateContent>
  <xr:revisionPtr revIDLastSave="0" documentId="13_ncr:1_{46AE5FCC-9EAF-D24E-87A6-E6FC3EBA79BD}" xr6:coauthVersionLast="47" xr6:coauthVersionMax="47" xr10:uidLastSave="{00000000-0000-0000-0000-000000000000}"/>
  <bookViews>
    <workbookView xWindow="0" yWindow="760" windowWidth="29400" windowHeight="17400" tabRatio="705" firstSheet="2" activeTab="16" xr2:uid="{00000000-000D-0000-FFFF-FFFF00000000}"/>
  </bookViews>
  <sheets>
    <sheet name="Score Card - Cummulative" sheetId="1" r:id="rId1"/>
    <sheet name="Score Card - Percentage" sheetId="12" r:id="rId2"/>
    <sheet name="Score Card - Graphs" sheetId="13" r:id="rId3"/>
    <sheet name="CoBIT maturity key" sheetId="9" r:id="rId4"/>
    <sheet name="0 - General Questions" sheetId="21" r:id="rId5"/>
    <sheet name="Sheet1" sheetId="23" state="hidden" r:id="rId6"/>
    <sheet name="1 - Mission and Governance" sheetId="10" r:id="rId7"/>
    <sheet name="2.2 - People Matrix" sheetId="16" state="hidden" r:id="rId8"/>
    <sheet name="2.3 - Resource Costing Model" sheetId="17" state="hidden" r:id="rId9"/>
    <sheet name="4.1 - SIEM" sheetId="22" state="hidden" r:id="rId10"/>
    <sheet name="2 - People" sheetId="2" r:id="rId11"/>
    <sheet name="3 - Process" sheetId="3" r:id="rId12"/>
    <sheet name="4 - Technology Functional" sheetId="4" r:id="rId13"/>
    <sheet name="5 - Coverage" sheetId="11" r:id="rId14"/>
    <sheet name="5.2 - SOC covered event sources" sheetId="15" state="hidden" r:id="rId15"/>
    <sheet name="5.3 - Overall Inventory" sheetId="19" state="hidden" r:id="rId16"/>
    <sheet name="Sample Event Scope" sheetId="20" r:id="rId17"/>
  </sheets>
  <definedNames>
    <definedName name="_xlnm.Print_Area" localSheetId="4">'0 - General Questions'!$B$14:$C$23</definedName>
    <definedName name="_xlnm.Print_Area" localSheetId="6">'1 - Mission and Governance'!$B$4:$C$36</definedName>
    <definedName name="_xlnm.Print_Area" localSheetId="10">'2 - People'!$B$3:$C$92</definedName>
    <definedName name="_xlnm.Print_Area" localSheetId="7">'2.2 - People Matrix'!$B$4:$C$92</definedName>
    <definedName name="_xlnm.Print_Area" localSheetId="8">'2.3 - Resource Costing Model'!$B$4:$C$92</definedName>
    <definedName name="_xlnm.Print_Area" localSheetId="11">'3 - Process'!$B$4:$C$183</definedName>
    <definedName name="_xlnm.Print_Area" localSheetId="12">'4 - Technology Functional'!$B$3:$C$190</definedName>
    <definedName name="_xlnm.Print_Area" localSheetId="9">'4.1 - SIEM'!$B$3:$B$27</definedName>
    <definedName name="_xlnm.Print_Area" localSheetId="13">'5 - Coverage'!$B$4:$C$131</definedName>
    <definedName name="_xlnm.Print_Area" localSheetId="14">'5.2 - SOC covered event sources'!$B$5:$D$129</definedName>
    <definedName name="_xlnm.Print_Area" localSheetId="15">'5.3 - Overall Inventory'!$B$5:$D$129</definedName>
    <definedName name="_xlnm.Print_Area" localSheetId="0">'Score Card - Cummulative'!#REF!</definedName>
    <definedName name="_xlnm.Print_Area" localSheetId="2">'Score Card - Graphs'!#REF!</definedName>
    <definedName name="_xlnm.Print_Area" localSheetId="1">'Score Card - Percentage'!#REF!</definedName>
    <definedName name="ValidEval" localSheetId="4">#REF!</definedName>
    <definedName name="ValidEval" localSheetId="7">#REF!</definedName>
    <definedName name="ValidEval" localSheetId="8">#REF!</definedName>
    <definedName name="ValidEval" localSheetId="9">#REF!</definedName>
    <definedName name="ValidEval" localSheetId="14">#REF!</definedName>
    <definedName name="ValidEval" localSheetId="15">#REF!</definedName>
    <definedName name="ValidEval" localSheetId="2">#REF!</definedName>
    <definedName name="ValidEval" localSheetId="1">#REF!</definedName>
    <definedName name="ValidEval">#REF!</definedName>
    <definedName name="ValidWeights" localSheetId="4">#REF!</definedName>
    <definedName name="ValidWeights" localSheetId="7">#REF!</definedName>
    <definedName name="ValidWeights" localSheetId="8">#REF!</definedName>
    <definedName name="ValidWeights" localSheetId="9">#REF!</definedName>
    <definedName name="ValidWeights" localSheetId="14">#REF!</definedName>
    <definedName name="ValidWeights" localSheetId="15">#REF!</definedName>
    <definedName name="ValidWeights" localSheetId="2">#REF!</definedName>
    <definedName name="ValidWeights" localSheetId="1">#REF!</definedName>
    <definedName name="ValidWeights">#REF!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H55" i="20" l="1"/>
  <c r="G55" i="20"/>
  <c r="F55" i="20"/>
  <c r="T54" i="20"/>
  <c r="S54" i="20"/>
  <c r="R54" i="20"/>
  <c r="Q54" i="20"/>
  <c r="O54" i="20"/>
  <c r="N54" i="20"/>
  <c r="M54" i="20"/>
  <c r="E54" i="20"/>
  <c r="L54" i="20" s="1"/>
  <c r="T53" i="20"/>
  <c r="S53" i="20"/>
  <c r="R53" i="20"/>
  <c r="O53" i="20"/>
  <c r="N53" i="20"/>
  <c r="M53" i="20"/>
  <c r="E53" i="20"/>
  <c r="Q53" i="20" s="1"/>
  <c r="T52" i="20"/>
  <c r="S52" i="20"/>
  <c r="R52" i="20"/>
  <c r="O52" i="20"/>
  <c r="N52" i="20"/>
  <c r="M52" i="20"/>
  <c r="E52" i="20"/>
  <c r="Q52" i="20" s="1"/>
  <c r="T51" i="20"/>
  <c r="S51" i="20"/>
  <c r="R51" i="20"/>
  <c r="O51" i="20"/>
  <c r="N51" i="20"/>
  <c r="M51" i="20"/>
  <c r="E51" i="20"/>
  <c r="Q51" i="20" s="1"/>
  <c r="T50" i="20"/>
  <c r="S50" i="20"/>
  <c r="R50" i="20"/>
  <c r="O50" i="20"/>
  <c r="N50" i="20"/>
  <c r="M50" i="20"/>
  <c r="E50" i="20"/>
  <c r="Q50" i="20" s="1"/>
  <c r="T49" i="20"/>
  <c r="S49" i="20"/>
  <c r="R49" i="20"/>
  <c r="O49" i="20"/>
  <c r="N49" i="20"/>
  <c r="M49" i="20"/>
  <c r="E49" i="20"/>
  <c r="L49" i="20" s="1"/>
  <c r="T48" i="20"/>
  <c r="S48" i="20"/>
  <c r="R48" i="20"/>
  <c r="O48" i="20"/>
  <c r="N48" i="20"/>
  <c r="M48" i="20"/>
  <c r="E48" i="20"/>
  <c r="L48" i="20" s="1"/>
  <c r="T47" i="20"/>
  <c r="S47" i="20"/>
  <c r="R47" i="20"/>
  <c r="Q47" i="20"/>
  <c r="O47" i="20"/>
  <c r="N47" i="20"/>
  <c r="M47" i="20"/>
  <c r="E47" i="20"/>
  <c r="L47" i="20" s="1"/>
  <c r="T46" i="20"/>
  <c r="S46" i="20"/>
  <c r="R46" i="20"/>
  <c r="O46" i="20"/>
  <c r="N46" i="20"/>
  <c r="M46" i="20"/>
  <c r="E46" i="20"/>
  <c r="L46" i="20" s="1"/>
  <c r="T45" i="20"/>
  <c r="S45" i="20"/>
  <c r="R45" i="20"/>
  <c r="O45" i="20"/>
  <c r="N45" i="20"/>
  <c r="M45" i="20"/>
  <c r="E45" i="20"/>
  <c r="Q45" i="20" s="1"/>
  <c r="T44" i="20"/>
  <c r="S44" i="20"/>
  <c r="R44" i="20"/>
  <c r="O44" i="20"/>
  <c r="N44" i="20"/>
  <c r="M44" i="20"/>
  <c r="E44" i="20"/>
  <c r="Q44" i="20" s="1"/>
  <c r="T43" i="20"/>
  <c r="S43" i="20"/>
  <c r="R43" i="20"/>
  <c r="O43" i="20"/>
  <c r="N43" i="20"/>
  <c r="M43" i="20"/>
  <c r="E43" i="20"/>
  <c r="Q43" i="20" s="1"/>
  <c r="T42" i="20"/>
  <c r="S42" i="20"/>
  <c r="R42" i="20"/>
  <c r="O42" i="20"/>
  <c r="N42" i="20"/>
  <c r="M42" i="20"/>
  <c r="E42" i="20"/>
  <c r="Q42" i="20" s="1"/>
  <c r="T41" i="20"/>
  <c r="S41" i="20"/>
  <c r="R41" i="20"/>
  <c r="O41" i="20"/>
  <c r="N41" i="20"/>
  <c r="M41" i="20"/>
  <c r="E41" i="20"/>
  <c r="L41" i="20" s="1"/>
  <c r="T40" i="20"/>
  <c r="S40" i="20"/>
  <c r="R40" i="20"/>
  <c r="O40" i="20"/>
  <c r="N40" i="20"/>
  <c r="M40" i="20"/>
  <c r="E40" i="20"/>
  <c r="L40" i="20" s="1"/>
  <c r="T39" i="20"/>
  <c r="S39" i="20"/>
  <c r="R39" i="20"/>
  <c r="Q39" i="20"/>
  <c r="O39" i="20"/>
  <c r="N39" i="20"/>
  <c r="M39" i="20"/>
  <c r="L39" i="20"/>
  <c r="E39" i="20"/>
  <c r="T38" i="20"/>
  <c r="S38" i="20"/>
  <c r="R38" i="20"/>
  <c r="O38" i="20"/>
  <c r="N38" i="20"/>
  <c r="M38" i="20"/>
  <c r="E38" i="20"/>
  <c r="L38" i="20" s="1"/>
  <c r="T37" i="20"/>
  <c r="S37" i="20"/>
  <c r="R37" i="20"/>
  <c r="O37" i="20"/>
  <c r="N37" i="20"/>
  <c r="M37" i="20"/>
  <c r="E37" i="20"/>
  <c r="Q37" i="20" s="1"/>
  <c r="T36" i="20"/>
  <c r="S36" i="20"/>
  <c r="R36" i="20"/>
  <c r="O36" i="20"/>
  <c r="N36" i="20"/>
  <c r="M36" i="20"/>
  <c r="E36" i="20"/>
  <c r="Q36" i="20" s="1"/>
  <c r="T35" i="20"/>
  <c r="S35" i="20"/>
  <c r="R35" i="20"/>
  <c r="O35" i="20"/>
  <c r="N35" i="20"/>
  <c r="M35" i="20"/>
  <c r="E35" i="20"/>
  <c r="Q35" i="20" s="1"/>
  <c r="T34" i="20"/>
  <c r="S34" i="20"/>
  <c r="R34" i="20"/>
  <c r="O34" i="20"/>
  <c r="N34" i="20"/>
  <c r="M34" i="20"/>
  <c r="E34" i="20"/>
  <c r="Q34" i="20" s="1"/>
  <c r="T33" i="20"/>
  <c r="S33" i="20"/>
  <c r="R33" i="20"/>
  <c r="O33" i="20"/>
  <c r="N33" i="20"/>
  <c r="M33" i="20"/>
  <c r="E33" i="20"/>
  <c r="L33" i="20" s="1"/>
  <c r="T32" i="20"/>
  <c r="S32" i="20"/>
  <c r="R32" i="20"/>
  <c r="O32" i="20"/>
  <c r="N32" i="20"/>
  <c r="M32" i="20"/>
  <c r="E32" i="20"/>
  <c r="L32" i="20" s="1"/>
  <c r="T31" i="20"/>
  <c r="S31" i="20"/>
  <c r="R31" i="20"/>
  <c r="O31" i="20"/>
  <c r="N31" i="20"/>
  <c r="M31" i="20"/>
  <c r="E31" i="20"/>
  <c r="Q31" i="20" s="1"/>
  <c r="T30" i="20"/>
  <c r="S30" i="20"/>
  <c r="R30" i="20"/>
  <c r="O30" i="20"/>
  <c r="N30" i="20"/>
  <c r="M30" i="20"/>
  <c r="E30" i="20"/>
  <c r="L30" i="20" s="1"/>
  <c r="T29" i="20"/>
  <c r="S29" i="20"/>
  <c r="R29" i="20"/>
  <c r="O29" i="20"/>
  <c r="N29" i="20"/>
  <c r="M29" i="20"/>
  <c r="E29" i="20"/>
  <c r="Q29" i="20" s="1"/>
  <c r="T28" i="20"/>
  <c r="S28" i="20"/>
  <c r="R28" i="20"/>
  <c r="O28" i="20"/>
  <c r="N28" i="20"/>
  <c r="M28" i="20"/>
  <c r="E28" i="20"/>
  <c r="Q28" i="20" s="1"/>
  <c r="T27" i="20"/>
  <c r="S27" i="20"/>
  <c r="R27" i="20"/>
  <c r="O27" i="20"/>
  <c r="N27" i="20"/>
  <c r="M27" i="20"/>
  <c r="E27" i="20"/>
  <c r="Q27" i="20" s="1"/>
  <c r="T26" i="20"/>
  <c r="S26" i="20"/>
  <c r="R26" i="20"/>
  <c r="O26" i="20"/>
  <c r="N26" i="20"/>
  <c r="M26" i="20"/>
  <c r="E26" i="20"/>
  <c r="Q26" i="20" s="1"/>
  <c r="T25" i="20"/>
  <c r="S25" i="20"/>
  <c r="R25" i="20"/>
  <c r="O25" i="20"/>
  <c r="N25" i="20"/>
  <c r="M25" i="20"/>
  <c r="E25" i="20"/>
  <c r="L25" i="20" s="1"/>
  <c r="T24" i="20"/>
  <c r="S24" i="20"/>
  <c r="R24" i="20"/>
  <c r="O24" i="20"/>
  <c r="N24" i="20"/>
  <c r="M24" i="20"/>
  <c r="E24" i="20"/>
  <c r="L24" i="20" s="1"/>
  <c r="T23" i="20"/>
  <c r="S23" i="20"/>
  <c r="R23" i="20"/>
  <c r="O23" i="20"/>
  <c r="N23" i="20"/>
  <c r="M23" i="20"/>
  <c r="E23" i="20"/>
  <c r="L23" i="20" s="1"/>
  <c r="T22" i="20"/>
  <c r="S22" i="20"/>
  <c r="R22" i="20"/>
  <c r="Q22" i="20"/>
  <c r="O22" i="20"/>
  <c r="N22" i="20"/>
  <c r="M22" i="20"/>
  <c r="E22" i="20"/>
  <c r="L22" i="20" s="1"/>
  <c r="T21" i="20"/>
  <c r="S21" i="20"/>
  <c r="R21" i="20"/>
  <c r="O21" i="20"/>
  <c r="N21" i="20"/>
  <c r="M21" i="20"/>
  <c r="E21" i="20"/>
  <c r="Q21" i="20" s="1"/>
  <c r="T20" i="20"/>
  <c r="S20" i="20"/>
  <c r="R20" i="20"/>
  <c r="O20" i="20"/>
  <c r="N20" i="20"/>
  <c r="M20" i="20"/>
  <c r="E20" i="20"/>
  <c r="Q20" i="20" s="1"/>
  <c r="T19" i="20"/>
  <c r="S19" i="20"/>
  <c r="R19" i="20"/>
  <c r="O19" i="20"/>
  <c r="N19" i="20"/>
  <c r="M19" i="20"/>
  <c r="E19" i="20"/>
  <c r="Q19" i="20" s="1"/>
  <c r="T18" i="20"/>
  <c r="S18" i="20"/>
  <c r="R18" i="20"/>
  <c r="O18" i="20"/>
  <c r="N18" i="20"/>
  <c r="M18" i="20"/>
  <c r="E18" i="20"/>
  <c r="Q18" i="20" s="1"/>
  <c r="T17" i="20"/>
  <c r="S17" i="20"/>
  <c r="R17" i="20"/>
  <c r="O17" i="20"/>
  <c r="N17" i="20"/>
  <c r="M17" i="20"/>
  <c r="E17" i="20"/>
  <c r="L17" i="20" s="1"/>
  <c r="T16" i="20"/>
  <c r="S16" i="20"/>
  <c r="R16" i="20"/>
  <c r="O16" i="20"/>
  <c r="N16" i="20"/>
  <c r="M16" i="20"/>
  <c r="E16" i="20"/>
  <c r="L16" i="20" s="1"/>
  <c r="T15" i="20"/>
  <c r="S15" i="20"/>
  <c r="R15" i="20"/>
  <c r="Q15" i="20"/>
  <c r="O15" i="20"/>
  <c r="N15" i="20"/>
  <c r="M15" i="20"/>
  <c r="E15" i="20"/>
  <c r="L15" i="20" s="1"/>
  <c r="T14" i="20"/>
  <c r="S14" i="20"/>
  <c r="R14" i="20"/>
  <c r="O14" i="20"/>
  <c r="N14" i="20"/>
  <c r="M14" i="20"/>
  <c r="E14" i="20"/>
  <c r="Q14" i="20" s="1"/>
  <c r="T13" i="20"/>
  <c r="S13" i="20"/>
  <c r="R13" i="20"/>
  <c r="O13" i="20"/>
  <c r="N13" i="20"/>
  <c r="M13" i="20"/>
  <c r="E13" i="20"/>
  <c r="Q13" i="20" s="1"/>
  <c r="T12" i="20"/>
  <c r="S12" i="20"/>
  <c r="R12" i="20"/>
  <c r="O12" i="20"/>
  <c r="N12" i="20"/>
  <c r="M12" i="20"/>
  <c r="E12" i="20"/>
  <c r="Q12" i="20" s="1"/>
  <c r="T11" i="20"/>
  <c r="S11" i="20"/>
  <c r="R11" i="20"/>
  <c r="O11" i="20"/>
  <c r="N11" i="20"/>
  <c r="M11" i="20"/>
  <c r="E11" i="20"/>
  <c r="Q11" i="20" s="1"/>
  <c r="T10" i="20"/>
  <c r="S10" i="20"/>
  <c r="R10" i="20"/>
  <c r="O10" i="20"/>
  <c r="N10" i="20"/>
  <c r="M10" i="20"/>
  <c r="E10" i="20"/>
  <c r="Q10" i="20" s="1"/>
  <c r="T9" i="20"/>
  <c r="S9" i="20"/>
  <c r="R9" i="20"/>
  <c r="O9" i="20"/>
  <c r="N9" i="20"/>
  <c r="M9" i="20"/>
  <c r="E9" i="20"/>
  <c r="L9" i="20" s="1"/>
  <c r="T8" i="20"/>
  <c r="S8" i="20"/>
  <c r="R8" i="20"/>
  <c r="O8" i="20"/>
  <c r="N8" i="20"/>
  <c r="M8" i="20"/>
  <c r="E8" i="20"/>
  <c r="L8" i="20" s="1"/>
  <c r="T7" i="20"/>
  <c r="S7" i="20"/>
  <c r="R7" i="20"/>
  <c r="Q7" i="20"/>
  <c r="O7" i="20"/>
  <c r="N7" i="20"/>
  <c r="M7" i="20"/>
  <c r="E7" i="20"/>
  <c r="L7" i="20" s="1"/>
  <c r="T6" i="20"/>
  <c r="S6" i="20"/>
  <c r="R6" i="20"/>
  <c r="O6" i="20"/>
  <c r="N6" i="20"/>
  <c r="M6" i="20"/>
  <c r="E6" i="20"/>
  <c r="L6" i="20" s="1"/>
  <c r="T5" i="20"/>
  <c r="S5" i="20"/>
  <c r="R5" i="20"/>
  <c r="O5" i="20"/>
  <c r="N5" i="20"/>
  <c r="M5" i="20"/>
  <c r="E5" i="20"/>
  <c r="Q5" i="20" s="1"/>
  <c r="T4" i="20"/>
  <c r="S4" i="20"/>
  <c r="R4" i="20"/>
  <c r="O4" i="20"/>
  <c r="N4" i="20"/>
  <c r="M4" i="20"/>
  <c r="E4" i="20"/>
  <c r="Q4" i="20" s="1"/>
  <c r="T3" i="20"/>
  <c r="S3" i="20"/>
  <c r="R3" i="20"/>
  <c r="O3" i="20"/>
  <c r="N3" i="20"/>
  <c r="M3" i="20"/>
  <c r="L34" i="20" l="1"/>
  <c r="L26" i="20"/>
  <c r="L31" i="20"/>
  <c r="Q6" i="20"/>
  <c r="L14" i="20"/>
  <c r="O55" i="20"/>
  <c r="Q38" i="20"/>
  <c r="N55" i="20"/>
  <c r="L18" i="20"/>
  <c r="R55" i="20"/>
  <c r="Q23" i="20"/>
  <c r="L50" i="20"/>
  <c r="S55" i="20"/>
  <c r="T55" i="20"/>
  <c r="M55" i="20"/>
  <c r="Q30" i="20"/>
  <c r="L42" i="20"/>
  <c r="Q46" i="20"/>
  <c r="L10" i="20"/>
  <c r="L27" i="20"/>
  <c r="L35" i="20"/>
  <c r="L43" i="20"/>
  <c r="L51" i="20"/>
  <c r="L12" i="20"/>
  <c r="L20" i="20"/>
  <c r="Q24" i="20"/>
  <c r="Q32" i="20"/>
  <c r="L44" i="20"/>
  <c r="L5" i="20"/>
  <c r="Q9" i="20"/>
  <c r="L13" i="20"/>
  <c r="Q17" i="20"/>
  <c r="L21" i="20"/>
  <c r="Q25" i="20"/>
  <c r="L29" i="20"/>
  <c r="Q33" i="20"/>
  <c r="L37" i="20"/>
  <c r="Q41" i="20"/>
  <c r="L45" i="20"/>
  <c r="Q49" i="20"/>
  <c r="L53" i="20"/>
  <c r="L11" i="20"/>
  <c r="L4" i="20"/>
  <c r="Q8" i="20"/>
  <c r="Q16" i="20"/>
  <c r="L28" i="20"/>
  <c r="L36" i="20"/>
  <c r="Q40" i="20"/>
  <c r="Q48" i="20"/>
  <c r="L52" i="20"/>
  <c r="L19" i="20"/>
  <c r="O56" i="20" l="1"/>
  <c r="Q55" i="20"/>
  <c r="T56" i="20"/>
  <c r="L55" i="20"/>
  <c r="B151" i="19" l="1"/>
  <c r="D143" i="19"/>
  <c r="G139" i="19"/>
  <c r="G150" i="19" s="1"/>
  <c r="F139" i="19"/>
  <c r="F150" i="19" s="1"/>
  <c r="E139" i="19"/>
  <c r="E150" i="19" s="1"/>
  <c r="D139" i="19"/>
  <c r="D150" i="19" s="1"/>
  <c r="B139" i="19"/>
  <c r="B150" i="19" s="1"/>
  <c r="G138" i="19"/>
  <c r="G149" i="19" s="1"/>
  <c r="F138" i="19"/>
  <c r="E138" i="19"/>
  <c r="D138" i="19"/>
  <c r="B138" i="19"/>
  <c r="B149" i="19" s="1"/>
  <c r="G137" i="19"/>
  <c r="G148" i="19" s="1"/>
  <c r="F137" i="19"/>
  <c r="E137" i="19"/>
  <c r="D137" i="19"/>
  <c r="B137" i="19"/>
  <c r="B148" i="19" s="1"/>
  <c r="G136" i="19"/>
  <c r="G147" i="19" s="1"/>
  <c r="F136" i="19"/>
  <c r="F147" i="19" s="1"/>
  <c r="E136" i="19"/>
  <c r="D136" i="19"/>
  <c r="B136" i="19"/>
  <c r="B147" i="19" s="1"/>
  <c r="G135" i="19"/>
  <c r="G146" i="19" s="1"/>
  <c r="F135" i="19"/>
  <c r="E135" i="19"/>
  <c r="D135" i="19"/>
  <c r="B135" i="19"/>
  <c r="B146" i="19" s="1"/>
  <c r="G134" i="19"/>
  <c r="G145" i="19" s="1"/>
  <c r="F134" i="19"/>
  <c r="F145" i="19" s="1"/>
  <c r="E134" i="19"/>
  <c r="D134" i="19"/>
  <c r="B134" i="19"/>
  <c r="B145" i="19" s="1"/>
  <c r="G133" i="19"/>
  <c r="G144" i="19" s="1"/>
  <c r="F133" i="19"/>
  <c r="F144" i="19" s="1"/>
  <c r="E133" i="19"/>
  <c r="D133" i="19"/>
  <c r="B133" i="19"/>
  <c r="B144" i="19" s="1"/>
  <c r="G132" i="19"/>
  <c r="G143" i="19" s="1"/>
  <c r="F132" i="19"/>
  <c r="F143" i="19" s="1"/>
  <c r="E132" i="19"/>
  <c r="E143" i="19" s="1"/>
  <c r="D132" i="19"/>
  <c r="F105" i="17"/>
  <c r="F101" i="17"/>
  <c r="F112" i="17" s="1"/>
  <c r="E101" i="17"/>
  <c r="E112" i="17" s="1"/>
  <c r="D101" i="17"/>
  <c r="D112" i="17" s="1"/>
  <c r="C101" i="17"/>
  <c r="C112" i="17" s="1"/>
  <c r="B101" i="17"/>
  <c r="B112" i="17" s="1"/>
  <c r="F100" i="17"/>
  <c r="F111" i="17" s="1"/>
  <c r="E100" i="17"/>
  <c r="E111" i="17" s="1"/>
  <c r="D100" i="17"/>
  <c r="D111" i="17" s="1"/>
  <c r="C100" i="17"/>
  <c r="C111" i="17" s="1"/>
  <c r="B100" i="17"/>
  <c r="B111" i="17" s="1"/>
  <c r="F99" i="17"/>
  <c r="F110" i="17" s="1"/>
  <c r="E99" i="17"/>
  <c r="E110" i="17" s="1"/>
  <c r="D99" i="17"/>
  <c r="D110" i="17" s="1"/>
  <c r="C99" i="17"/>
  <c r="C110" i="17" s="1"/>
  <c r="B99" i="17"/>
  <c r="B110" i="17" s="1"/>
  <c r="F98" i="17"/>
  <c r="F109" i="17" s="1"/>
  <c r="E98" i="17"/>
  <c r="E109" i="17" s="1"/>
  <c r="D98" i="17"/>
  <c r="D109" i="17" s="1"/>
  <c r="C98" i="17"/>
  <c r="C109" i="17" s="1"/>
  <c r="B98" i="17"/>
  <c r="B109" i="17" s="1"/>
  <c r="F97" i="17"/>
  <c r="F108" i="17" s="1"/>
  <c r="E97" i="17"/>
  <c r="E108" i="17" s="1"/>
  <c r="D97" i="17"/>
  <c r="D108" i="17" s="1"/>
  <c r="C97" i="17"/>
  <c r="C108" i="17" s="1"/>
  <c r="B97" i="17"/>
  <c r="B108" i="17" s="1"/>
  <c r="F96" i="17"/>
  <c r="F107" i="17" s="1"/>
  <c r="E96" i="17"/>
  <c r="E107" i="17" s="1"/>
  <c r="D96" i="17"/>
  <c r="D107" i="17" s="1"/>
  <c r="C96" i="17"/>
  <c r="C107" i="17" s="1"/>
  <c r="B96" i="17"/>
  <c r="B107" i="17" s="1"/>
  <c r="F95" i="17"/>
  <c r="E95" i="17"/>
  <c r="E106" i="17" s="1"/>
  <c r="D95" i="17"/>
  <c r="D106" i="17" s="1"/>
  <c r="C95" i="17"/>
  <c r="C106" i="17" s="1"/>
  <c r="B95" i="17"/>
  <c r="B106" i="17" s="1"/>
  <c r="F94" i="17"/>
  <c r="E94" i="17"/>
  <c r="E105" i="17" s="1"/>
  <c r="D94" i="17"/>
  <c r="D105" i="17" s="1"/>
  <c r="C94" i="17"/>
  <c r="C105" i="17" s="1"/>
  <c r="F101" i="16"/>
  <c r="F112" i="16" s="1"/>
  <c r="E101" i="16"/>
  <c r="E112" i="16" s="1"/>
  <c r="D101" i="16"/>
  <c r="C101" i="16"/>
  <c r="C112" i="16" s="1"/>
  <c r="B101" i="16"/>
  <c r="B112" i="16" s="1"/>
  <c r="F100" i="16"/>
  <c r="F111" i="16" s="1"/>
  <c r="E100" i="16"/>
  <c r="E111" i="16" s="1"/>
  <c r="D100" i="16"/>
  <c r="C100" i="16"/>
  <c r="B100" i="16"/>
  <c r="B111" i="16" s="1"/>
  <c r="F99" i="16"/>
  <c r="F110" i="16" s="1"/>
  <c r="E99" i="16"/>
  <c r="E110" i="16" s="1"/>
  <c r="D99" i="16"/>
  <c r="C99" i="16"/>
  <c r="C110" i="16" s="1"/>
  <c r="B99" i="16"/>
  <c r="B110" i="16" s="1"/>
  <c r="F98" i="16"/>
  <c r="F109" i="16" s="1"/>
  <c r="E98" i="16"/>
  <c r="E109" i="16" s="1"/>
  <c r="D98" i="16"/>
  <c r="C98" i="16"/>
  <c r="C109" i="16" s="1"/>
  <c r="B98" i="16"/>
  <c r="B109" i="16" s="1"/>
  <c r="F97" i="16"/>
  <c r="F108" i="16" s="1"/>
  <c r="E97" i="16"/>
  <c r="E108" i="16" s="1"/>
  <c r="D97" i="16"/>
  <c r="D108" i="16" s="1"/>
  <c r="C97" i="16"/>
  <c r="C108" i="16" s="1"/>
  <c r="B97" i="16"/>
  <c r="B108" i="16" s="1"/>
  <c r="F96" i="16"/>
  <c r="F107" i="16" s="1"/>
  <c r="E96" i="16"/>
  <c r="E107" i="16" s="1"/>
  <c r="D96" i="16"/>
  <c r="C96" i="16"/>
  <c r="C107" i="16" s="1"/>
  <c r="B96" i="16"/>
  <c r="B107" i="16" s="1"/>
  <c r="F95" i="16"/>
  <c r="F106" i="16" s="1"/>
  <c r="E95" i="16"/>
  <c r="D95" i="16"/>
  <c r="C95" i="16"/>
  <c r="B95" i="16"/>
  <c r="B106" i="16" s="1"/>
  <c r="F94" i="16"/>
  <c r="F105" i="16" s="1"/>
  <c r="E94" i="16"/>
  <c r="E105" i="16" s="1"/>
  <c r="D94" i="16"/>
  <c r="D105" i="16" s="1"/>
  <c r="C94" i="16"/>
  <c r="C105" i="16" s="1"/>
  <c r="B151" i="15"/>
  <c r="G139" i="15"/>
  <c r="G150" i="15" s="1"/>
  <c r="F139" i="15"/>
  <c r="E139" i="15"/>
  <c r="D139" i="15"/>
  <c r="D150" i="15" s="1"/>
  <c r="B139" i="15"/>
  <c r="B150" i="15" s="1"/>
  <c r="G138" i="15"/>
  <c r="F138" i="15"/>
  <c r="E138" i="15"/>
  <c r="D138" i="15"/>
  <c r="B138" i="15"/>
  <c r="B149" i="15" s="1"/>
  <c r="G137" i="15"/>
  <c r="G148" i="15" s="1"/>
  <c r="F137" i="15"/>
  <c r="E137" i="15"/>
  <c r="D137" i="15"/>
  <c r="B137" i="15"/>
  <c r="B148" i="15" s="1"/>
  <c r="G136" i="15"/>
  <c r="G147" i="15" s="1"/>
  <c r="F136" i="15"/>
  <c r="F147" i="15" s="1"/>
  <c r="E136" i="15"/>
  <c r="E147" i="15" s="1"/>
  <c r="D136" i="15"/>
  <c r="B136" i="15"/>
  <c r="B147" i="15" s="1"/>
  <c r="G135" i="15"/>
  <c r="G146" i="15" s="1"/>
  <c r="F135" i="15"/>
  <c r="E135" i="15"/>
  <c r="D135" i="15"/>
  <c r="B135" i="15"/>
  <c r="B146" i="15" s="1"/>
  <c r="G134" i="15"/>
  <c r="G145" i="15" s="1"/>
  <c r="F134" i="15"/>
  <c r="E134" i="15"/>
  <c r="E145" i="15" s="1"/>
  <c r="D134" i="15"/>
  <c r="D145" i="15" s="1"/>
  <c r="B134" i="15"/>
  <c r="B145" i="15" s="1"/>
  <c r="G133" i="15"/>
  <c r="G144" i="15" s="1"/>
  <c r="F133" i="15"/>
  <c r="E133" i="15"/>
  <c r="D133" i="15"/>
  <c r="D144" i="15" s="1"/>
  <c r="B133" i="15"/>
  <c r="B144" i="15" s="1"/>
  <c r="G132" i="15"/>
  <c r="G143" i="15" s="1"/>
  <c r="F132" i="15"/>
  <c r="F143" i="15" s="1"/>
  <c r="E132" i="15"/>
  <c r="E143" i="15" s="1"/>
  <c r="D132" i="15"/>
  <c r="D143" i="15" s="1"/>
  <c r="E145" i="19" l="1"/>
  <c r="E147" i="19"/>
  <c r="E144" i="15"/>
  <c r="E148" i="15"/>
  <c r="F144" i="15"/>
  <c r="F148" i="15"/>
  <c r="F149" i="15"/>
  <c r="D145" i="19"/>
  <c r="D147" i="19"/>
  <c r="F102" i="17"/>
  <c r="F113" i="17" s="1"/>
  <c r="D144" i="19"/>
  <c r="E140" i="19"/>
  <c r="E144" i="19"/>
  <c r="E102" i="16"/>
  <c r="E113" i="16" s="1"/>
  <c r="D148" i="19"/>
  <c r="E148" i="19"/>
  <c r="F148" i="19"/>
  <c r="F146" i="19"/>
  <c r="D140" i="19"/>
  <c r="E146" i="19"/>
  <c r="F149" i="19"/>
  <c r="F140" i="19"/>
  <c r="D149" i="19"/>
  <c r="G140" i="19"/>
  <c r="G151" i="19" s="1"/>
  <c r="D146" i="19"/>
  <c r="E149" i="19"/>
  <c r="C102" i="17"/>
  <c r="C113" i="17" s="1"/>
  <c r="D102" i="17"/>
  <c r="D113" i="17" s="1"/>
  <c r="E102" i="17"/>
  <c r="E113" i="17" s="1"/>
  <c r="F106" i="17"/>
  <c r="C102" i="16"/>
  <c r="D102" i="16"/>
  <c r="D113" i="16" s="1"/>
  <c r="D109" i="16"/>
  <c r="D110" i="16"/>
  <c r="C106" i="16"/>
  <c r="C111" i="16"/>
  <c r="F102" i="16"/>
  <c r="F113" i="16" s="1"/>
  <c r="D107" i="16"/>
  <c r="D111" i="16"/>
  <c r="D112" i="16"/>
  <c r="C113" i="16"/>
  <c r="D106" i="16"/>
  <c r="E106" i="16"/>
  <c r="F145" i="15"/>
  <c r="D149" i="15"/>
  <c r="D146" i="15"/>
  <c r="E149" i="15"/>
  <c r="E146" i="15"/>
  <c r="F146" i="15"/>
  <c r="D148" i="15"/>
  <c r="D147" i="15"/>
  <c r="E150" i="15"/>
  <c r="E140" i="15"/>
  <c r="F150" i="15"/>
  <c r="F140" i="15"/>
  <c r="G149" i="15"/>
  <c r="D140" i="15"/>
  <c r="G140" i="15"/>
  <c r="G151" i="15" s="1"/>
  <c r="D151" i="11"/>
  <c r="D38" i="12" s="1"/>
  <c r="E137" i="11"/>
  <c r="D141" i="11"/>
  <c r="D39" i="1" s="1"/>
  <c r="E141" i="11"/>
  <c r="F141" i="11"/>
  <c r="F152" i="11" s="1"/>
  <c r="C141" i="11"/>
  <c r="C152" i="11" s="1"/>
  <c r="C39" i="12" s="1"/>
  <c r="D140" i="11"/>
  <c r="D38" i="1" s="1"/>
  <c r="E140" i="11"/>
  <c r="F140" i="11"/>
  <c r="F151" i="11" s="1"/>
  <c r="C140" i="11"/>
  <c r="C38" i="1" s="1"/>
  <c r="D139" i="11"/>
  <c r="E139" i="11"/>
  <c r="E37" i="1" s="1"/>
  <c r="F139" i="11"/>
  <c r="F150" i="11" s="1"/>
  <c r="C139" i="11"/>
  <c r="D138" i="11"/>
  <c r="D36" i="1" s="1"/>
  <c r="E138" i="11"/>
  <c r="F138" i="11"/>
  <c r="F149" i="11" s="1"/>
  <c r="C138" i="11"/>
  <c r="C36" i="1" s="1"/>
  <c r="D137" i="11"/>
  <c r="D35" i="1" s="1"/>
  <c r="F137" i="11"/>
  <c r="F148" i="11" s="1"/>
  <c r="C137" i="11"/>
  <c r="D136" i="11"/>
  <c r="D34" i="1" s="1"/>
  <c r="E136" i="11"/>
  <c r="E34" i="1" s="1"/>
  <c r="F136" i="11"/>
  <c r="F147" i="11" s="1"/>
  <c r="C136" i="11"/>
  <c r="C34" i="1" s="1"/>
  <c r="C135" i="11"/>
  <c r="D135" i="11"/>
  <c r="D33" i="1" s="1"/>
  <c r="E135" i="11"/>
  <c r="F135" i="11"/>
  <c r="F146" i="11" s="1"/>
  <c r="B141" i="11"/>
  <c r="B39" i="12" s="1"/>
  <c r="B140" i="11"/>
  <c r="B151" i="11" s="1"/>
  <c r="B139" i="11"/>
  <c r="B150" i="11" s="1"/>
  <c r="B138" i="11"/>
  <c r="B36" i="1" s="1"/>
  <c r="B137" i="11"/>
  <c r="B35" i="12" s="1"/>
  <c r="B136" i="11"/>
  <c r="B34" i="1" s="1"/>
  <c r="B135" i="11"/>
  <c r="B33" i="12" s="1"/>
  <c r="B153" i="11"/>
  <c r="F134" i="11"/>
  <c r="F145" i="11" s="1"/>
  <c r="E134" i="11"/>
  <c r="E145" i="11" s="1"/>
  <c r="D134" i="11"/>
  <c r="D145" i="11" s="1"/>
  <c r="C134" i="11"/>
  <c r="C145" i="11" s="1"/>
  <c r="B214" i="4"/>
  <c r="D202" i="4"/>
  <c r="D31" i="1" s="1"/>
  <c r="E202" i="4"/>
  <c r="F202" i="4"/>
  <c r="F213" i="4" s="1"/>
  <c r="C202" i="4"/>
  <c r="D201" i="4"/>
  <c r="D30" i="1" s="1"/>
  <c r="E201" i="4"/>
  <c r="E30" i="1" s="1"/>
  <c r="F201" i="4"/>
  <c r="F212" i="4" s="1"/>
  <c r="C201" i="4"/>
  <c r="D200" i="4"/>
  <c r="D29" i="1" s="1"/>
  <c r="E200" i="4"/>
  <c r="F200" i="4"/>
  <c r="F211" i="4" s="1"/>
  <c r="C200" i="4"/>
  <c r="C29" i="1" s="1"/>
  <c r="D199" i="4"/>
  <c r="D28" i="1" s="1"/>
  <c r="E199" i="4"/>
  <c r="E28" i="1" s="1"/>
  <c r="F199" i="4"/>
  <c r="F210" i="4" s="1"/>
  <c r="C199" i="4"/>
  <c r="D198" i="4"/>
  <c r="D27" i="1" s="1"/>
  <c r="E198" i="4"/>
  <c r="E27" i="1" s="1"/>
  <c r="F198" i="4"/>
  <c r="F209" i="4" s="1"/>
  <c r="C198" i="4"/>
  <c r="C27" i="1" s="1"/>
  <c r="D197" i="4"/>
  <c r="E197" i="4"/>
  <c r="E26" i="1" s="1"/>
  <c r="F197" i="4"/>
  <c r="F208" i="4" s="1"/>
  <c r="C197" i="4"/>
  <c r="C196" i="4"/>
  <c r="D196" i="4"/>
  <c r="D25" i="1" s="1"/>
  <c r="E196" i="4"/>
  <c r="F196" i="4"/>
  <c r="F207" i="4" s="1"/>
  <c r="B202" i="4"/>
  <c r="B31" i="1" s="1"/>
  <c r="B201" i="4"/>
  <c r="B212" i="4" s="1"/>
  <c r="B200" i="4"/>
  <c r="B211" i="4" s="1"/>
  <c r="B199" i="4"/>
  <c r="B210" i="4" s="1"/>
  <c r="B198" i="4"/>
  <c r="B27" i="1" s="1"/>
  <c r="B197" i="4"/>
  <c r="B208" i="4" s="1"/>
  <c r="B196" i="4"/>
  <c r="B25" i="1" s="1"/>
  <c r="F195" i="4"/>
  <c r="F206" i="4" s="1"/>
  <c r="E195" i="4"/>
  <c r="E206" i="4" s="1"/>
  <c r="D195" i="4"/>
  <c r="D206" i="4" s="1"/>
  <c r="C195" i="4"/>
  <c r="C206" i="4" s="1"/>
  <c r="D101" i="2"/>
  <c r="E101" i="2"/>
  <c r="F101" i="2"/>
  <c r="G101" i="2"/>
  <c r="D16" i="1" s="1"/>
  <c r="H101" i="2"/>
  <c r="E16" i="1" s="1"/>
  <c r="I101" i="2"/>
  <c r="D112" i="2" s="1"/>
  <c r="C101" i="2"/>
  <c r="D100" i="2"/>
  <c r="E100" i="2"/>
  <c r="E111" i="2" s="1"/>
  <c r="F100" i="2"/>
  <c r="G100" i="2"/>
  <c r="D15" i="1" s="1"/>
  <c r="H100" i="2"/>
  <c r="E15" i="1" s="1"/>
  <c r="I100" i="2"/>
  <c r="C100" i="2"/>
  <c r="C15" i="1" s="1"/>
  <c r="D99" i="2"/>
  <c r="E99" i="2"/>
  <c r="F99" i="2"/>
  <c r="G99" i="2"/>
  <c r="D14" i="1" s="1"/>
  <c r="H99" i="2"/>
  <c r="I99" i="2"/>
  <c r="F110" i="2" s="1"/>
  <c r="C99" i="2"/>
  <c r="C14" i="1" s="1"/>
  <c r="D98" i="2"/>
  <c r="E98" i="2"/>
  <c r="F98" i="2"/>
  <c r="G98" i="2"/>
  <c r="D13" i="1" s="1"/>
  <c r="H98" i="2"/>
  <c r="E13" i="1" s="1"/>
  <c r="I98" i="2"/>
  <c r="G109" i="2" s="1"/>
  <c r="D13" i="12" s="1"/>
  <c r="C98" i="2"/>
  <c r="C13" i="1" s="1"/>
  <c r="D97" i="2"/>
  <c r="D108" i="2" s="1"/>
  <c r="E97" i="2"/>
  <c r="E108" i="2" s="1"/>
  <c r="F97" i="2"/>
  <c r="G97" i="2"/>
  <c r="D12" i="1" s="1"/>
  <c r="H97" i="2"/>
  <c r="I97" i="2"/>
  <c r="C97" i="2"/>
  <c r="D96" i="2"/>
  <c r="E96" i="2"/>
  <c r="E107" i="2" s="1"/>
  <c r="F96" i="2"/>
  <c r="G96" i="2"/>
  <c r="H96" i="2"/>
  <c r="E11" i="1" s="1"/>
  <c r="I96" i="2"/>
  <c r="C96" i="2"/>
  <c r="C11" i="1" s="1"/>
  <c r="D95" i="2"/>
  <c r="E95" i="2"/>
  <c r="F95" i="2"/>
  <c r="G95" i="2"/>
  <c r="D10" i="1" s="1"/>
  <c r="H95" i="2"/>
  <c r="E10" i="1" s="1"/>
  <c r="I95" i="2"/>
  <c r="F106" i="2" s="1"/>
  <c r="C95" i="2"/>
  <c r="C10" i="1" s="1"/>
  <c r="B101" i="2"/>
  <c r="B16" i="1" s="1"/>
  <c r="B100" i="2"/>
  <c r="B15" i="1" s="1"/>
  <c r="B99" i="2"/>
  <c r="B110" i="2" s="1"/>
  <c r="B98" i="2"/>
  <c r="B109" i="2" s="1"/>
  <c r="B97" i="2"/>
  <c r="B12" i="1" s="1"/>
  <c r="B96" i="2"/>
  <c r="B11" i="1" s="1"/>
  <c r="B95" i="2"/>
  <c r="B10" i="12" s="1"/>
  <c r="B107" i="2"/>
  <c r="I94" i="2"/>
  <c r="H94" i="2"/>
  <c r="H105" i="2" s="1"/>
  <c r="G94" i="2"/>
  <c r="G105" i="2" s="1"/>
  <c r="F94" i="2"/>
  <c r="F105" i="2" s="1"/>
  <c r="E94" i="2"/>
  <c r="E105" i="2" s="1"/>
  <c r="D94" i="2"/>
  <c r="D105" i="2" s="1"/>
  <c r="C94" i="2"/>
  <c r="C105" i="2" s="1"/>
  <c r="D55" i="10"/>
  <c r="E55" i="10"/>
  <c r="F55" i="10"/>
  <c r="G55" i="10"/>
  <c r="H55" i="10"/>
  <c r="H64" i="10" s="1"/>
  <c r="I55" i="10"/>
  <c r="C55" i="10"/>
  <c r="D54" i="10"/>
  <c r="E54" i="10"/>
  <c r="F54" i="10"/>
  <c r="G54" i="10"/>
  <c r="D8" i="1" s="1"/>
  <c r="H54" i="10"/>
  <c r="E8" i="1" s="1"/>
  <c r="I54" i="10"/>
  <c r="G63" i="10" s="1"/>
  <c r="D8" i="12" s="1"/>
  <c r="C54" i="10"/>
  <c r="C8" i="1" s="1"/>
  <c r="D53" i="10"/>
  <c r="E53" i="10"/>
  <c r="F53" i="10"/>
  <c r="G53" i="10"/>
  <c r="D7" i="1" s="1"/>
  <c r="H53" i="10"/>
  <c r="I53" i="10"/>
  <c r="C53" i="10"/>
  <c r="C7" i="1" s="1"/>
  <c r="D52" i="10"/>
  <c r="E52" i="10"/>
  <c r="F52" i="10"/>
  <c r="F61" i="10" s="1"/>
  <c r="G52" i="10"/>
  <c r="G61" i="10" s="1"/>
  <c r="D6" i="12" s="1"/>
  <c r="H52" i="10"/>
  <c r="I52" i="10"/>
  <c r="C52" i="10"/>
  <c r="C61" i="10" s="1"/>
  <c r="D51" i="10"/>
  <c r="E51" i="10"/>
  <c r="F51" i="10"/>
  <c r="G51" i="10"/>
  <c r="H51" i="10"/>
  <c r="I51" i="10"/>
  <c r="C51" i="10"/>
  <c r="C5" i="1" s="1"/>
  <c r="B55" i="10"/>
  <c r="B64" i="10" s="1"/>
  <c r="B54" i="10"/>
  <c r="B63" i="10" s="1"/>
  <c r="B53" i="10"/>
  <c r="B62" i="10" s="1"/>
  <c r="B52" i="10"/>
  <c r="B61" i="10" s="1"/>
  <c r="B51" i="10"/>
  <c r="B60" i="10" s="1"/>
  <c r="I50" i="10"/>
  <c r="H50" i="10"/>
  <c r="H59" i="10" s="1"/>
  <c r="G50" i="10"/>
  <c r="G59" i="10" s="1"/>
  <c r="F50" i="10"/>
  <c r="F59" i="10" s="1"/>
  <c r="E50" i="10"/>
  <c r="E59" i="10" s="1"/>
  <c r="D50" i="10"/>
  <c r="D59" i="10" s="1"/>
  <c r="C50" i="10"/>
  <c r="C59" i="10" s="1"/>
  <c r="E151" i="11" l="1"/>
  <c r="E38" i="12" s="1"/>
  <c r="C30" i="1"/>
  <c r="C212" i="4"/>
  <c r="F60" i="10"/>
  <c r="H108" i="2"/>
  <c r="E12" i="12" s="1"/>
  <c r="D60" i="10"/>
  <c r="C150" i="11"/>
  <c r="C37" i="12" s="1"/>
  <c r="E152" i="11"/>
  <c r="E39" i="12" s="1"/>
  <c r="C64" i="10"/>
  <c r="E148" i="11"/>
  <c r="E35" i="12" s="1"/>
  <c r="D208" i="4"/>
  <c r="D26" i="12" s="1"/>
  <c r="E149" i="11"/>
  <c r="E36" i="12" s="1"/>
  <c r="F111" i="2"/>
  <c r="F109" i="2"/>
  <c r="D111" i="2"/>
  <c r="G107" i="2"/>
  <c r="D11" i="12" s="1"/>
  <c r="E12" i="1"/>
  <c r="F107" i="2"/>
  <c r="D109" i="2"/>
  <c r="C146" i="11"/>
  <c r="C33" i="12" s="1"/>
  <c r="D107" i="2"/>
  <c r="B149" i="11"/>
  <c r="H56" i="10"/>
  <c r="F62" i="10"/>
  <c r="D64" i="10"/>
  <c r="E112" i="2"/>
  <c r="B148" i="11"/>
  <c r="E203" i="4"/>
  <c r="E142" i="11"/>
  <c r="C37" i="1"/>
  <c r="B152" i="11"/>
  <c r="D148" i="11"/>
  <c r="D35" i="12" s="1"/>
  <c r="D150" i="11"/>
  <c r="D37" i="12" s="1"/>
  <c r="B36" i="12"/>
  <c r="B39" i="1"/>
  <c r="B35" i="1"/>
  <c r="E147" i="11"/>
  <c r="E34" i="12" s="1"/>
  <c r="E38" i="1"/>
  <c r="B147" i="11"/>
  <c r="F142" i="11"/>
  <c r="F153" i="11" s="1"/>
  <c r="E146" i="11"/>
  <c r="E33" i="12" s="1"/>
  <c r="E150" i="11"/>
  <c r="E37" i="12" s="1"/>
  <c r="D149" i="11"/>
  <c r="D36" i="12" s="1"/>
  <c r="B37" i="1"/>
  <c r="C33" i="1"/>
  <c r="D37" i="1"/>
  <c r="E33" i="1"/>
  <c r="E36" i="1"/>
  <c r="B34" i="12"/>
  <c r="B38" i="12"/>
  <c r="C147" i="11"/>
  <c r="C34" i="12" s="1"/>
  <c r="C148" i="11"/>
  <c r="C35" i="12" s="1"/>
  <c r="D146" i="11"/>
  <c r="D33" i="12" s="1"/>
  <c r="C149" i="11"/>
  <c r="C36" i="12" s="1"/>
  <c r="B33" i="1"/>
  <c r="C39" i="1"/>
  <c r="E39" i="1"/>
  <c r="E35" i="1"/>
  <c r="B146" i="11"/>
  <c r="D142" i="11"/>
  <c r="D147" i="11"/>
  <c r="D34" i="12" s="1"/>
  <c r="B38" i="1"/>
  <c r="B37" i="12"/>
  <c r="C207" i="4"/>
  <c r="C25" i="12" s="1"/>
  <c r="D211" i="4"/>
  <c r="D29" i="12" s="1"/>
  <c r="D26" i="1"/>
  <c r="B27" i="12"/>
  <c r="B209" i="4"/>
  <c r="E208" i="4"/>
  <c r="E26" i="12" s="1"/>
  <c r="E209" i="4"/>
  <c r="E27" i="12" s="1"/>
  <c r="E211" i="4"/>
  <c r="E29" i="12" s="1"/>
  <c r="E212" i="4"/>
  <c r="E30" i="12" s="1"/>
  <c r="E213" i="4"/>
  <c r="E31" i="12" s="1"/>
  <c r="D210" i="4"/>
  <c r="D28" i="12" s="1"/>
  <c r="B30" i="1"/>
  <c r="E31" i="1"/>
  <c r="B30" i="12"/>
  <c r="D209" i="4"/>
  <c r="D27" i="12" s="1"/>
  <c r="B29" i="1"/>
  <c r="B31" i="12"/>
  <c r="C208" i="4"/>
  <c r="C26" i="12" s="1"/>
  <c r="C210" i="4"/>
  <c r="C28" i="12" s="1"/>
  <c r="D212" i="4"/>
  <c r="D30" i="12" s="1"/>
  <c r="B26" i="1"/>
  <c r="B26" i="12"/>
  <c r="E106" i="2"/>
  <c r="E110" i="2"/>
  <c r="H112" i="2"/>
  <c r="E16" i="12" s="1"/>
  <c r="B11" i="12"/>
  <c r="D102" i="2"/>
  <c r="C108" i="2"/>
  <c r="C12" i="12" s="1"/>
  <c r="F108" i="2"/>
  <c r="E109" i="2"/>
  <c r="H110" i="2"/>
  <c r="E14" i="12" s="1"/>
  <c r="D110" i="2"/>
  <c r="G111" i="2"/>
  <c r="D15" i="12" s="1"/>
  <c r="C112" i="2"/>
  <c r="C16" i="12" s="1"/>
  <c r="F112" i="2"/>
  <c r="H109" i="2"/>
  <c r="E13" i="12" s="1"/>
  <c r="B10" i="1"/>
  <c r="D11" i="1"/>
  <c r="B15" i="12"/>
  <c r="B111" i="2"/>
  <c r="B14" i="1"/>
  <c r="H106" i="2"/>
  <c r="E10" i="12" s="1"/>
  <c r="D106" i="2"/>
  <c r="G110" i="2"/>
  <c r="D14" i="12" s="1"/>
  <c r="B108" i="2"/>
  <c r="B112" i="2"/>
  <c r="G106" i="2"/>
  <c r="D10" i="12" s="1"/>
  <c r="B13" i="1"/>
  <c r="E14" i="1"/>
  <c r="B12" i="12"/>
  <c r="B16" i="12"/>
  <c r="G112" i="2"/>
  <c r="D16" i="12" s="1"/>
  <c r="H111" i="2"/>
  <c r="E15" i="12" s="1"/>
  <c r="G108" i="2"/>
  <c r="D12" i="12" s="1"/>
  <c r="H107" i="2"/>
  <c r="E11" i="12" s="1"/>
  <c r="B13" i="12"/>
  <c r="B106" i="2"/>
  <c r="B14" i="12"/>
  <c r="E61" i="10"/>
  <c r="D56" i="10"/>
  <c r="B8" i="1"/>
  <c r="H61" i="10"/>
  <c r="E6" i="12" s="1"/>
  <c r="F63" i="10"/>
  <c r="B7" i="1"/>
  <c r="E63" i="10"/>
  <c r="D63" i="10"/>
  <c r="C63" i="10"/>
  <c r="B5" i="1"/>
  <c r="C151" i="11"/>
  <c r="C38" i="12" s="1"/>
  <c r="C35" i="1"/>
  <c r="C25" i="1"/>
  <c r="C16" i="1"/>
  <c r="C111" i="2"/>
  <c r="C15" i="12" s="1"/>
  <c r="C106" i="2"/>
  <c r="C10" i="12" s="1"/>
  <c r="C110" i="2"/>
  <c r="C14" i="12" s="1"/>
  <c r="C109" i="2"/>
  <c r="C13" i="12" s="1"/>
  <c r="C12" i="1"/>
  <c r="C107" i="2"/>
  <c r="C11" i="12" s="1"/>
  <c r="H62" i="10"/>
  <c r="E7" i="12" s="1"/>
  <c r="G62" i="10"/>
  <c r="D7" i="12" s="1"/>
  <c r="F151" i="19"/>
  <c r="D151" i="19"/>
  <c r="E151" i="19"/>
  <c r="D151" i="15"/>
  <c r="F151" i="15"/>
  <c r="E151" i="15"/>
  <c r="D207" i="4"/>
  <c r="D25" i="12" s="1"/>
  <c r="C211" i="4"/>
  <c r="C29" i="12" s="1"/>
  <c r="C209" i="4"/>
  <c r="C27" i="12" s="1"/>
  <c r="C28" i="1"/>
  <c r="B207" i="4"/>
  <c r="B28" i="1"/>
  <c r="D213" i="4"/>
  <c r="D31" i="12" s="1"/>
  <c r="E210" i="4"/>
  <c r="E28" i="12" s="1"/>
  <c r="C26" i="1"/>
  <c r="E25" i="1"/>
  <c r="B25" i="12"/>
  <c r="C203" i="4"/>
  <c r="F203" i="4"/>
  <c r="F214" i="4" s="1"/>
  <c r="C30" i="12"/>
  <c r="C31" i="1"/>
  <c r="E29" i="1"/>
  <c r="B28" i="12"/>
  <c r="E207" i="4"/>
  <c r="E25" i="12" s="1"/>
  <c r="B213" i="4"/>
  <c r="B29" i="12"/>
  <c r="F56" i="10"/>
  <c r="B6" i="12"/>
  <c r="E60" i="10"/>
  <c r="D61" i="10"/>
  <c r="B6" i="1"/>
  <c r="E6" i="1"/>
  <c r="B7" i="12"/>
  <c r="C62" i="10"/>
  <c r="H63" i="10"/>
  <c r="E8" i="12" s="1"/>
  <c r="G64" i="10"/>
  <c r="F64" i="10"/>
  <c r="C6" i="1"/>
  <c r="D6" i="1"/>
  <c r="B5" i="12"/>
  <c r="E5" i="1"/>
  <c r="B8" i="12"/>
  <c r="I56" i="10"/>
  <c r="D65" i="10" s="1"/>
  <c r="E64" i="10"/>
  <c r="E7" i="1"/>
  <c r="G56" i="10"/>
  <c r="F65" i="10"/>
  <c r="E56" i="10"/>
  <c r="D5" i="1"/>
  <c r="C142" i="11"/>
  <c r="D152" i="11"/>
  <c r="D39" i="12" s="1"/>
  <c r="D203" i="4"/>
  <c r="C213" i="4"/>
  <c r="C31" i="12" s="1"/>
  <c r="F102" i="2"/>
  <c r="E102" i="2"/>
  <c r="G102" i="2"/>
  <c r="I102" i="2"/>
  <c r="H102" i="2"/>
  <c r="C102" i="2"/>
  <c r="C56" i="10"/>
  <c r="E62" i="10"/>
  <c r="D62" i="10"/>
  <c r="C60" i="10"/>
  <c r="H60" i="10"/>
  <c r="E5" i="12" s="1"/>
  <c r="G60" i="10"/>
  <c r="D5" i="12" s="1"/>
  <c r="D182" i="3"/>
  <c r="E172" i="3"/>
  <c r="F172" i="3"/>
  <c r="G172" i="3"/>
  <c r="D23" i="1" s="1"/>
  <c r="H172" i="3"/>
  <c r="E23" i="1" s="1"/>
  <c r="I172" i="3"/>
  <c r="C182" i="3"/>
  <c r="D181" i="3"/>
  <c r="E171" i="3"/>
  <c r="F171" i="3"/>
  <c r="G171" i="3"/>
  <c r="D22" i="1" s="1"/>
  <c r="H171" i="3"/>
  <c r="E22" i="1" s="1"/>
  <c r="I171" i="3"/>
  <c r="C181" i="3"/>
  <c r="C22" i="1" s="1"/>
  <c r="D180" i="3"/>
  <c r="E170" i="3"/>
  <c r="F170" i="3"/>
  <c r="G170" i="3"/>
  <c r="D21" i="1" s="1"/>
  <c r="H170" i="3"/>
  <c r="E21" i="1" s="1"/>
  <c r="I170" i="3"/>
  <c r="C180" i="3"/>
  <c r="C21" i="1" s="1"/>
  <c r="D179" i="3"/>
  <c r="E169" i="3"/>
  <c r="F169" i="3"/>
  <c r="G169" i="3"/>
  <c r="D20" i="1" s="1"/>
  <c r="H169" i="3"/>
  <c r="E20" i="1" s="1"/>
  <c r="I169" i="3"/>
  <c r="C179" i="3"/>
  <c r="C20" i="1" s="1"/>
  <c r="D178" i="3"/>
  <c r="E168" i="3"/>
  <c r="F168" i="3"/>
  <c r="G168" i="3"/>
  <c r="D19" i="1" s="1"/>
  <c r="H168" i="3"/>
  <c r="E19" i="1" s="1"/>
  <c r="I168" i="3"/>
  <c r="C178" i="3"/>
  <c r="C19" i="1" s="1"/>
  <c r="D177" i="3"/>
  <c r="E167" i="3"/>
  <c r="F167" i="3"/>
  <c r="G167" i="3"/>
  <c r="D18" i="1" s="1"/>
  <c r="H167" i="3"/>
  <c r="E18" i="1" s="1"/>
  <c r="I167" i="3"/>
  <c r="C177" i="3"/>
  <c r="D176" i="3"/>
  <c r="D186" i="3" s="1"/>
  <c r="E166" i="3"/>
  <c r="E176" i="3" s="1"/>
  <c r="F166" i="3"/>
  <c r="F176" i="3" s="1"/>
  <c r="G166" i="3"/>
  <c r="G176" i="3" s="1"/>
  <c r="H166" i="3"/>
  <c r="H176" i="3" s="1"/>
  <c r="I166" i="3"/>
  <c r="C176" i="3"/>
  <c r="C186" i="3" s="1"/>
  <c r="B182" i="3"/>
  <c r="B192" i="3" s="1"/>
  <c r="B181" i="3"/>
  <c r="B180" i="3"/>
  <c r="B179" i="3"/>
  <c r="B189" i="3" s="1"/>
  <c r="B178" i="3"/>
  <c r="B177" i="3"/>
  <c r="B187" i="3" s="1"/>
  <c r="H113" i="2" l="1"/>
  <c r="C18" i="1"/>
  <c r="C187" i="3"/>
  <c r="C153" i="11"/>
  <c r="D153" i="11"/>
  <c r="C113" i="2"/>
  <c r="F178" i="3"/>
  <c r="D191" i="3"/>
  <c r="C191" i="3"/>
  <c r="C22" i="12" s="1"/>
  <c r="E153" i="11"/>
  <c r="C214" i="4"/>
  <c r="E214" i="4"/>
  <c r="D214" i="4"/>
  <c r="E65" i="10"/>
  <c r="H65" i="10"/>
  <c r="C65" i="10"/>
  <c r="G65" i="10"/>
  <c r="D190" i="3"/>
  <c r="E177" i="3"/>
  <c r="D188" i="3"/>
  <c r="F182" i="3"/>
  <c r="E182" i="3"/>
  <c r="I173" i="3"/>
  <c r="F180" i="3"/>
  <c r="E181" i="3"/>
  <c r="D192" i="3"/>
  <c r="F179" i="3"/>
  <c r="E173" i="3"/>
  <c r="E179" i="3"/>
  <c r="F173" i="3"/>
  <c r="E178" i="3"/>
  <c r="D189" i="3"/>
  <c r="D183" i="3"/>
  <c r="E180" i="3"/>
  <c r="F177" i="3"/>
  <c r="G178" i="3"/>
  <c r="D19" i="12" s="1"/>
  <c r="F181" i="3"/>
  <c r="B21" i="12"/>
  <c r="B21" i="1"/>
  <c r="B22" i="12"/>
  <c r="B22" i="1"/>
  <c r="D187" i="3"/>
  <c r="H179" i="3"/>
  <c r="E20" i="12" s="1"/>
  <c r="H180" i="3"/>
  <c r="E21" i="12" s="1"/>
  <c r="C188" i="3"/>
  <c r="C19" i="12" s="1"/>
  <c r="G179" i="3"/>
  <c r="D20" i="12" s="1"/>
  <c r="G180" i="3"/>
  <c r="D21" i="12" s="1"/>
  <c r="G182" i="3"/>
  <c r="D23" i="12" s="1"/>
  <c r="B23" i="12"/>
  <c r="B23" i="1"/>
  <c r="B191" i="3"/>
  <c r="H178" i="3"/>
  <c r="E19" i="12" s="1"/>
  <c r="H181" i="3"/>
  <c r="E22" i="12" s="1"/>
  <c r="B18" i="12"/>
  <c r="B18" i="1"/>
  <c r="C183" i="3"/>
  <c r="C23" i="1"/>
  <c r="B190" i="3"/>
  <c r="B188" i="3"/>
  <c r="B19" i="1"/>
  <c r="B19" i="12"/>
  <c r="G173" i="3"/>
  <c r="H177" i="3"/>
  <c r="E18" i="12" s="1"/>
  <c r="C189" i="3"/>
  <c r="C20" i="12" s="1"/>
  <c r="H173" i="3"/>
  <c r="C18" i="12"/>
  <c r="G181" i="3"/>
  <c r="D22" i="12" s="1"/>
  <c r="B20" i="12"/>
  <c r="B20" i="1"/>
  <c r="G177" i="3"/>
  <c r="D18" i="12" s="1"/>
  <c r="H182" i="3"/>
  <c r="E23" i="12" s="1"/>
  <c r="C190" i="3"/>
  <c r="C21" i="12" s="1"/>
  <c r="G113" i="2"/>
  <c r="E113" i="2"/>
  <c r="F113" i="2"/>
  <c r="D113" i="2"/>
  <c r="C192" i="3"/>
  <c r="C23" i="12" s="1"/>
  <c r="F183" i="3" l="1"/>
  <c r="H183" i="3"/>
  <c r="D193" i="3"/>
  <c r="C193" i="3"/>
  <c r="G183" i="3"/>
  <c r="E183"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Mark Fernandes</author>
  </authors>
  <commentList>
    <comment ref="D15" authorId="0" shapeId="0" xr:uid="{00000000-0006-0000-0F00-000001000000}">
      <text>
        <r>
          <rPr>
            <b/>
            <sz val="9"/>
            <color indexed="81"/>
            <rFont val="Tahoma"/>
            <family val="2"/>
          </rPr>
          <t>Mark Fernandes:</t>
        </r>
        <r>
          <rPr>
            <sz val="9"/>
            <color indexed="81"/>
            <rFont val="Tahoma"/>
            <family val="2"/>
          </rPr>
          <t xml:space="preserve">
Fedora 7
Fedora 11
RH 4.1.2-27
RH 4.3.0-8
RH 4.4.0-4
RH 7.2
RH 2.1AS
All remaining are RHEL:
ES3, ES4, ES 5.2, ES5.3, ES5.4, ES5.5</t>
        </r>
      </text>
    </comment>
  </commentList>
</comments>
</file>

<file path=xl/sharedStrings.xml><?xml version="1.0" encoding="utf-8"?>
<sst xmlns="http://schemas.openxmlformats.org/spreadsheetml/2006/main" count="2360" uniqueCount="1539">
  <si>
    <t>Cummulative Score</t>
  </si>
  <si>
    <t>Domain</t>
  </si>
  <si>
    <t>Sub-Domain</t>
  </si>
  <si>
    <t>Assessed Score</t>
  </si>
  <si>
    <t>Peer</t>
  </si>
  <si>
    <t>Recommended</t>
  </si>
  <si>
    <t>1 - Mission and Governance</t>
  </si>
  <si>
    <t>2 - People</t>
  </si>
  <si>
    <t>3 - Process</t>
  </si>
  <si>
    <t>4 - Technology</t>
  </si>
  <si>
    <t>5 - Coverage</t>
  </si>
  <si>
    <t>Score Percentage</t>
  </si>
  <si>
    <t>0 - Roadmap Questionairre</t>
  </si>
  <si>
    <t>Please enter a response for each question</t>
  </si>
  <si>
    <t>Response</t>
  </si>
  <si>
    <t>Business Profile</t>
  </si>
  <si>
    <t>Client Name</t>
  </si>
  <si>
    <t>InterGlobe Aviation Pvt. Ltd.</t>
  </si>
  <si>
    <t>Number of Employees</t>
  </si>
  <si>
    <t>Number of Customer (preferrably by region)</t>
  </si>
  <si>
    <t>Number of Offices</t>
  </si>
  <si>
    <t>Multiple</t>
  </si>
  <si>
    <t>Countries of Operations (please specify countries and if possible the approx number of customers by region)</t>
  </si>
  <si>
    <t>Compliance Drivers</t>
  </si>
  <si>
    <t>What compliance frameworks are pertitent to the organization?</t>
  </si>
  <si>
    <t>ISO 27001</t>
  </si>
  <si>
    <t>What industry standards would the organization wish to consider for the assessment?</t>
  </si>
  <si>
    <t>Has internal (or external) audit rendered any audit points on Logging, Monitoring or Reporting?  If so, if you can please provide the findings.</t>
  </si>
  <si>
    <t>Check</t>
  </si>
  <si>
    <t>Information Security Policy</t>
  </si>
  <si>
    <t>Please provide any corporate information security policy.</t>
  </si>
  <si>
    <t>Yes</t>
  </si>
  <si>
    <t xml:space="preserve">Is there a policy on data classification?  </t>
  </si>
  <si>
    <t>Is there assets that have been classified as business critical within the governance of this document?  If so, where are they located?</t>
  </si>
  <si>
    <t>Yes, the critical applications are hsoted in the Data Center/ Azure Cloud</t>
  </si>
  <si>
    <t>Is there a formalized methodology for threat modeling and use case development?</t>
  </si>
  <si>
    <t>High level Service Level Objectives</t>
  </si>
  <si>
    <t>Is there a document that defines the SLO for responding to high severity alarm conditions that may be generated by the future SOC?  For example, if an organization is affected by a business critical threat, would the response expectation be 15, 30 minutes, two (2) hours etc.?</t>
  </si>
  <si>
    <t>Yes, SLAs are defined in the IR plan</t>
  </si>
  <si>
    <t>Financial model</t>
  </si>
  <si>
    <t>For the financial model, should Deloitte consider a three, five or other year model?</t>
  </si>
  <si>
    <t>3 year multiyear engagement</t>
  </si>
  <si>
    <t>Should Deloitte use a NPV of 5% for the cost forecast?</t>
  </si>
  <si>
    <t>Is there a primary IT investment focus (strategic, information, transactional, infrastructure)?</t>
  </si>
  <si>
    <t>Is there a defined Business Risk Measurement Model?</t>
  </si>
  <si>
    <t>Has the company allocated Business Risk Financing?</t>
  </si>
  <si>
    <t>Service Catalogue</t>
  </si>
  <si>
    <t>Please enter the current service catalogue for the SOC.  For example, what functions are being covered by the current SOC (e.g. monitoring, cyber threat intelligence, malware reconstruction etc)?</t>
  </si>
  <si>
    <t xml:space="preserve">Is there an enterprise strategy on vulnerability monitoring tracking?  </t>
  </si>
  <si>
    <t>Yes, Tenable VMS in place and all the vulnerabilities are tracked in SNOW</t>
  </si>
  <si>
    <t xml:space="preserve">If so, would an organization like Deloitte to include this in the Services Catalogue.  </t>
  </si>
  <si>
    <t>Already included</t>
  </si>
  <si>
    <t>Typically this is not considered a core SOC service and can result in expanded scope, but some clients have asked that this be included in the extended SOC’s domicile of coverage.</t>
  </si>
  <si>
    <t>Not included in core SOC services for IndiGo</t>
  </si>
  <si>
    <t>Is there an enterprise strategy on Cyber Threat Intelligence?  If so, are there resources currently allocated to this function?</t>
  </si>
  <si>
    <t xml:space="preserve">Yes, basic CTI services are provided by Deloitte </t>
  </si>
  <si>
    <t>Is there an enterprise strategy on Role and Group Certification?  If so, are there resources currently allocated to this function?</t>
  </si>
  <si>
    <t>Yes, preperation for ISO 27001 certification is in progress</t>
  </si>
  <si>
    <t xml:space="preserve">If not, would an organization like Deloitte to include this in the Services Catalogue.  </t>
  </si>
  <si>
    <t>Is there an enterprise strategy on Malware Analysis?  If so, are there resources currently allocated to this function?</t>
  </si>
  <si>
    <t>Is there an enterprise strategy on Compliance Reporting, Monitoring and Tracking?  If so, are there resources currently allocated to this function?</t>
  </si>
  <si>
    <t>Would an organization like Deloitte to include this in the Services Catalogue?</t>
  </si>
  <si>
    <t>Would an organization like Deloitte to include Security Advisory Services as part of the SOC’s Services Catalogue? Security Advisory services include monitoring security threat advisories and disseminating it to the applicable teams.</t>
  </si>
  <si>
    <t>Does an organization have an Enterprise Governance Risk and Compliance (GRC) capability?  If so, please provide details.</t>
  </si>
  <si>
    <t>General</t>
  </si>
  <si>
    <t>What other initiatives could have an impact on the SOC rollout?</t>
  </si>
  <si>
    <t>What other initiatives could be impacted by the SOC rollout?</t>
  </si>
  <si>
    <t>Is there an estimate for when an organization will expect the PCN to be integrated into the overall SOC?</t>
  </si>
  <si>
    <t>Is there an estimate for when an organization will expect the Smart Meter environment to be integrated into the overall SOC?</t>
  </si>
  <si>
    <t>Is there an estimate or perspective for when an organization will expect SAP to be integrated into the overall SOC?</t>
  </si>
  <si>
    <t>Please add any additional questions that are not covered in this tool, below</t>
  </si>
  <si>
    <t>Index</t>
  </si>
  <si>
    <t>Control Objective</t>
  </si>
  <si>
    <t>Current</t>
  </si>
  <si>
    <t>Maximum</t>
  </si>
  <si>
    <t>Comments</t>
  </si>
  <si>
    <t>1.1 - Mission</t>
  </si>
  <si>
    <t>1.1.1</t>
  </si>
  <si>
    <t>Does the SOC have an established Mission?</t>
  </si>
  <si>
    <t>Level 4 - Managed</t>
  </si>
  <si>
    <t>Sample Company specific only, with group charter.</t>
  </si>
  <si>
    <t>1.1.2</t>
  </si>
  <si>
    <t>Is the Mission aligned with the corporate Vision?</t>
  </si>
  <si>
    <t>1.1.3</t>
  </si>
  <si>
    <t>Is the SOC stakeholder group clearly documented?</t>
  </si>
  <si>
    <t>Operation mgmt. IT Security Advisory Board. Moving into ITIL framework.</t>
  </si>
  <si>
    <t>1.1.4</t>
  </si>
  <si>
    <t>Are staff trained on the Mission and how it needs to aligns with operating procedures?</t>
  </si>
  <si>
    <t xml:space="preserve">Operational manual. </t>
  </si>
  <si>
    <t>1.1.5</t>
  </si>
  <si>
    <t>Does the SOC's metric program evaluate against the Mission?</t>
  </si>
  <si>
    <t>1.1.6</t>
  </si>
  <si>
    <t>The SOC has an risk management plan that considers the Governance model?</t>
  </si>
  <si>
    <t>1.1.7</t>
  </si>
  <si>
    <t>Governance is reviewed on an annual basis to ensure adherence to Mission and Vision?</t>
  </si>
  <si>
    <t>1.2 - Service Catalogue</t>
  </si>
  <si>
    <t>1.2.1</t>
  </si>
  <si>
    <t>Does the SOC have a documented service catalogue?</t>
  </si>
  <si>
    <t>Level 5 - Optimized</t>
  </si>
  <si>
    <t>IPS coverage is only very limited to certains clients at the moment.</t>
  </si>
  <si>
    <t>1.2.2</t>
  </si>
  <si>
    <t>Does the SOC communicate the service catalogue to the lines of business?</t>
  </si>
  <si>
    <t>Vulnerability and Threat Management Report (Aaron Morrison). Target state micro/macro designs. Part of the Threat and Vulnerability Pillar</t>
  </si>
  <si>
    <t>1.2.3</t>
  </si>
  <si>
    <t>Does the SOC provide Service Level Objectives against the service catalogue?</t>
  </si>
  <si>
    <t>1.2.4</t>
  </si>
  <si>
    <t>Does the SOC evaluate performance and report on metrics against the service catalogue?</t>
  </si>
  <si>
    <t>1.2.5</t>
  </si>
  <si>
    <t>Does the SOC assess resource loading based on the service catalogue?</t>
  </si>
  <si>
    <t>1.2.6</t>
  </si>
  <si>
    <t>Does the SOC evaluate resource utilization by service catalogue on a quarterly basis?</t>
  </si>
  <si>
    <t>1.2.7</t>
  </si>
  <si>
    <t>Is the SOC service catalogue evaluated with the business stakeholder on an annual basis?</t>
  </si>
  <si>
    <t>1.2.8</t>
  </si>
  <si>
    <t>Does the SOC ensure appropriate skills maintenance based on the service catalogue?</t>
  </si>
  <si>
    <t>1.3 - Governance</t>
  </si>
  <si>
    <t>1.3.1</t>
  </si>
  <si>
    <t>Does the SOC have a documented governance model?</t>
  </si>
  <si>
    <t>1.3.2</t>
  </si>
  <si>
    <t>Does the SOC maintain list of policies and due care standards that are unique to SOC operations (and not part of the organization's standard policy documentation)?</t>
  </si>
  <si>
    <t>1.3.3</t>
  </si>
  <si>
    <t>Does the SOC maintain and evaluate a repository of unified control objectives?</t>
  </si>
  <si>
    <t>1.3.4</t>
  </si>
  <si>
    <t>Are the unified control objectives mapped to the organization's regulatory, compliance and industry standards?</t>
  </si>
  <si>
    <t>1.3.5</t>
  </si>
  <si>
    <t>Does the reporting structure align with the unified control objectives.</t>
  </si>
  <si>
    <t>1.3.6</t>
  </si>
  <si>
    <t>The SOC has automated synchronization of compliance meta-data between SIEM and eGRC.</t>
  </si>
  <si>
    <t>1.4 - Repeatability</t>
  </si>
  <si>
    <t>1.4.1</t>
  </si>
  <si>
    <t>Does the SOC have an established performance management program?</t>
  </si>
  <si>
    <t>1.4.2</t>
  </si>
  <si>
    <t>Has the metrics program been aligned with the overall SOC Mission?</t>
  </si>
  <si>
    <t>1.4.3</t>
  </si>
  <si>
    <t>Are performance metrics reported to business stakeholder on an annual basis?</t>
  </si>
  <si>
    <t>1.4.4</t>
  </si>
  <si>
    <t>Are performance metrics communicated to all levels of the SOC?</t>
  </si>
  <si>
    <t>1.4.5</t>
  </si>
  <si>
    <t>Are the performance metrics aligned with compliance goals?</t>
  </si>
  <si>
    <t>1.4.6</t>
  </si>
  <si>
    <t>Are case management timer metrics retained and reported on?</t>
  </si>
  <si>
    <t>1.4.7</t>
  </si>
  <si>
    <t>Does the SOC use metrics/performance measures as an input into decision making processes and prioritization of activities, resources and funding?</t>
  </si>
  <si>
    <t>1.4.8</t>
  </si>
  <si>
    <t>Are SOC metrics reviewed by independent parties on an annual basis, at a minimum?</t>
  </si>
  <si>
    <t>1.4.9</t>
  </si>
  <si>
    <t>Are independent reviews performed of SOC logs/alarms for completeness and consistency with reported performance?</t>
  </si>
  <si>
    <t>1.5 - Intra-organization interfaces</t>
  </si>
  <si>
    <t>Does the SOC have formalized RACI between dependent organizational functions?</t>
  </si>
  <si>
    <t>1.5.1</t>
  </si>
  <si>
    <t>Does the SOC have formalized engagement processes and standards to interact with HR, about employee investigations?</t>
  </si>
  <si>
    <t>1.5.2</t>
  </si>
  <si>
    <t>Does the SOC have formalized engagement processes and standards to interact with Operations?</t>
  </si>
  <si>
    <t>1.5.3</t>
  </si>
  <si>
    <t>Does the SOC have formalized engagement processes and standards to interact with the CSIRT?</t>
  </si>
  <si>
    <t>1.5.4</t>
  </si>
  <si>
    <t>Have decision tree's and call-outs been established for the CSIRT?</t>
  </si>
  <si>
    <t>1.5.5</t>
  </si>
  <si>
    <t>Does the SOC have formalized engagment processes and standards to interact with unverified users, that contact the SOC?</t>
  </si>
  <si>
    <t>1.5.6</t>
  </si>
  <si>
    <t>Does the SOC have secure methods for communicating with departments and functions?</t>
  </si>
  <si>
    <t>1.5.7</t>
  </si>
  <si>
    <t>Does the SOC have formalized engagement processes and standards to interact with Public Relations?</t>
  </si>
  <si>
    <t>1.5.8</t>
  </si>
  <si>
    <t>Does the SOC have formalized engagement processes and standards to interact with Internal or External Audit?</t>
  </si>
  <si>
    <t>SUMMARY Score</t>
  </si>
  <si>
    <t>TOTAL</t>
  </si>
  <si>
    <t>Summary Percentage</t>
  </si>
  <si>
    <t>1.6 - Costing Model</t>
  </si>
  <si>
    <t>1.6.1</t>
  </si>
  <si>
    <t>Does the SOC have a method for base (core) Threat Monitoring chargeback?</t>
  </si>
  <si>
    <t>1.6.2</t>
  </si>
  <si>
    <t>Does the SOC have a method for Engineering and Content Development chargeback?</t>
  </si>
  <si>
    <t>1.6.3</t>
  </si>
  <si>
    <t>Does the SOC have a method for Supplemental service chargeback (e.g. malware analysis)?</t>
  </si>
  <si>
    <t>1.6.4</t>
  </si>
  <si>
    <t>Is the costing model tied to SOC performance?</t>
  </si>
  <si>
    <t>2 - People Control Objectives</t>
  </si>
  <si>
    <t>2.1 - Resourcing</t>
  </si>
  <si>
    <t>2.1.1</t>
  </si>
  <si>
    <t>Does the organization have analyst coverage for 24x7x365?</t>
  </si>
  <si>
    <t>Yes, 24x7x365 Opertions</t>
  </si>
  <si>
    <t>2.1.2</t>
  </si>
  <si>
    <t>Does the organization have a minimum of two Level 1 analysts for business hours shifts?</t>
  </si>
  <si>
    <t>2.1.3</t>
  </si>
  <si>
    <t>Does the organization have a minimum of two resources (L1 - L2 mix) for graveyard shifts?</t>
  </si>
  <si>
    <t>2.1.4</t>
  </si>
  <si>
    <t>Does the organization have a minimum of 1:4 leverage for L1 versus L2?</t>
  </si>
  <si>
    <t>2.1.5</t>
  </si>
  <si>
    <t>Does the organization have resources that provide overlap between shifts?</t>
  </si>
  <si>
    <t>2.1.6</t>
  </si>
  <si>
    <t>Does the organization have contingency resources for shifts?</t>
  </si>
  <si>
    <t>2.1.7</t>
  </si>
  <si>
    <t>Does the organization have defined roles and responsibilies?</t>
  </si>
  <si>
    <t>2.1.8</t>
  </si>
  <si>
    <t>Does the SOC have a minimum of four shifts per week</t>
  </si>
  <si>
    <t>2.1.9</t>
  </si>
  <si>
    <t>Do you evaluate analysts against those defined R&amp;R?</t>
  </si>
  <si>
    <t>2.1.10</t>
  </si>
  <si>
    <t>Does the organization have documented R&amp;R for teams you interact with?</t>
  </si>
  <si>
    <t>2.1.11</t>
  </si>
  <si>
    <t>Does the organization have a dedicated SOC engineer?</t>
  </si>
  <si>
    <t>2.1.12</t>
  </si>
  <si>
    <t>Does the SOC engineer have an assigned backup?</t>
  </si>
  <si>
    <t>2.1.13</t>
  </si>
  <si>
    <t>Does the organization have a management issue escalation process?</t>
  </si>
  <si>
    <t>2.1.14</t>
  </si>
  <si>
    <t>Do all key positions have designated backups?</t>
  </si>
  <si>
    <t>2.1.15</t>
  </si>
  <si>
    <t>Does the organization have a contact list and procedure for engaging other areas?</t>
  </si>
  <si>
    <t>2.1.16</t>
  </si>
  <si>
    <t>Is there a defined audience and method for all SOC reports?</t>
  </si>
  <si>
    <t>2.1.17</t>
  </si>
  <si>
    <t>Is there a dedicated SOC manager?</t>
  </si>
  <si>
    <t>2.1.18</t>
  </si>
  <si>
    <t>Where in the Security Org, does the SOC manager report?</t>
  </si>
  <si>
    <t>2.1.19</t>
  </si>
  <si>
    <t>Is there a defined organizational stucture for the SOC?</t>
  </si>
  <si>
    <t>2.1.20</t>
  </si>
  <si>
    <t>Is there a defined organizational structure for teams interfacing with the SOC on a regular basis?</t>
  </si>
  <si>
    <t>2.1.21</t>
  </si>
  <si>
    <t>Is there a defined escalation path for SOC incidents?</t>
  </si>
  <si>
    <t>2.1.22</t>
  </si>
  <si>
    <t>Are any current security capabilities provided by outsourced vendors or managed security service providers?</t>
  </si>
  <si>
    <t>2.2 - Training</t>
  </si>
  <si>
    <t>2.2.1</t>
  </si>
  <si>
    <t>Is there a defined annual training plan for SOC analysts?</t>
  </si>
  <si>
    <t>2.2.2</t>
  </si>
  <si>
    <t>Is there a training budget allocated for SOC training?</t>
  </si>
  <si>
    <t>2.2.3</t>
  </si>
  <si>
    <t xml:space="preserve">Is a list of preferred training documented? </t>
  </si>
  <si>
    <t>2.2.4</t>
  </si>
  <si>
    <t>How regular are SOC analysts trained on threat scenarios?</t>
  </si>
  <si>
    <t>2.2.5</t>
  </si>
  <si>
    <t>How regular are SOC analysts trained on SOC tools?</t>
  </si>
  <si>
    <t>2.2.6</t>
  </si>
  <si>
    <t>How regular are SOC analysts refreshed on evidence handling and maintaining chain of custody?</t>
  </si>
  <si>
    <t>2.2.7</t>
  </si>
  <si>
    <t>Are SOC analysts allowed to attend security conferences to expand knowledge on emerging threats?</t>
  </si>
  <si>
    <t>2.2.8</t>
  </si>
  <si>
    <t>Is there a reference library in the SOC?</t>
  </si>
  <si>
    <t>2.2.9</t>
  </si>
  <si>
    <t>Is there required training for all new analysts?</t>
  </si>
  <si>
    <t>2.2.10</t>
  </si>
  <si>
    <t>Is there a system in place to evaluate analyst comprehension of new training?</t>
  </si>
  <si>
    <t>2.2.11</t>
  </si>
  <si>
    <t>Is there any process in place to revisit analysts training as a refresher?</t>
  </si>
  <si>
    <t>2.2.12</t>
  </si>
  <si>
    <t>Is any research done to find external training that may be beneficial to the SOC?</t>
  </si>
  <si>
    <t>2.2.13</t>
  </si>
  <si>
    <t>Is any process in place to facilitate external training?</t>
  </si>
  <si>
    <t>2.2.14</t>
  </si>
  <si>
    <t>Do you staff all needed languages?</t>
  </si>
  <si>
    <t>2.2.15</t>
  </si>
  <si>
    <t>Is there a documented curriculum for all levels of analysts?</t>
  </si>
  <si>
    <t>2.2.16</t>
  </si>
  <si>
    <t>Are there options for self directed analyst training? CBT, on-line training, etc…</t>
  </si>
  <si>
    <t>2.2.17</t>
  </si>
  <si>
    <t>Is there a documented job certification process for all levels of analysts?</t>
  </si>
  <si>
    <t>2.2.18</t>
  </si>
  <si>
    <t>Is there a method to gather analyst feedback on training provided?</t>
  </si>
  <si>
    <t>2.2.19</t>
  </si>
  <si>
    <t>Is there a documented method for analysts to share lessons learned?</t>
  </si>
  <si>
    <t>2.2.20</t>
  </si>
  <si>
    <t>Is there formal training on critical business processes? Change Control, Time Tracking, etc…</t>
  </si>
  <si>
    <t>2.3 - Certifications</t>
  </si>
  <si>
    <t>2.3.1</t>
  </si>
  <si>
    <t>Does the SOC have a certification program for analysts and management?</t>
  </si>
  <si>
    <t>2.3.2</t>
  </si>
  <si>
    <t>Is there any preference among Security Certifications? (GCIA, GCIH, CISSP, Security+)</t>
  </si>
  <si>
    <t>2.3.3</t>
  </si>
  <si>
    <t>Is there a published career path for Certifications? Security+ - GCIA - GCIH - CCNA - CISSP - CISM</t>
  </si>
  <si>
    <t>2.3.4</t>
  </si>
  <si>
    <t>Are at least 2 analysts who are SANS certified?</t>
  </si>
  <si>
    <t>2.3.5</t>
  </si>
  <si>
    <t>Are at least 2 analysts CISSP certified?</t>
  </si>
  <si>
    <t>2.3.6</t>
  </si>
  <si>
    <t>Are at least 2 analysts certified in SIEM tools?</t>
  </si>
  <si>
    <t>2.3.7</t>
  </si>
  <si>
    <t>Are at least 2 analysts certified in OS' used in the organization?</t>
  </si>
  <si>
    <t>2.3.8</t>
  </si>
  <si>
    <t>Is there a budget allocated for annual certifications and annual?</t>
  </si>
  <si>
    <t>2.3.9</t>
  </si>
  <si>
    <t>Is there an incentive program for analysts certifications that are relevant for the associated function?</t>
  </si>
  <si>
    <t>2.4 - Relevant Experience</t>
  </si>
  <si>
    <t>2.4.1</t>
  </si>
  <si>
    <t>Do your senior analysts have a minimum of 6 years of IT Security experience?</t>
  </si>
  <si>
    <t>2.4.2</t>
  </si>
  <si>
    <t>Do your senior analysts have a minimum of 10 years of IT experience?</t>
  </si>
  <si>
    <t>2.4.3</t>
  </si>
  <si>
    <t>Do your junior analysts have a minimum of 2 years of IT Security experience?</t>
  </si>
  <si>
    <t>2.4.4</t>
  </si>
  <si>
    <t>Do your junior analysts have a minimum of 5 years of IT experience?</t>
  </si>
  <si>
    <t>2.4.5</t>
  </si>
  <si>
    <t>Does the retention of the junior analyst exceed 3 years?</t>
  </si>
  <si>
    <t>2.4.6</t>
  </si>
  <si>
    <t>Does the retention of the senior analyst exceed 5 years?</t>
  </si>
  <si>
    <t>2.4.7</t>
  </si>
  <si>
    <t>What percentage of analysts hold post secondary degrees?</t>
  </si>
  <si>
    <t>2.4.8</t>
  </si>
  <si>
    <t>What percentage of analysts hold technical degrees?</t>
  </si>
  <si>
    <t>2.5 - Skills Assessment</t>
  </si>
  <si>
    <t>2.5.1</t>
  </si>
  <si>
    <t>Is there a formally documented list of analysts skills?</t>
  </si>
  <si>
    <t>2.5.2</t>
  </si>
  <si>
    <t>Are there any periodic skills assessments done?</t>
  </si>
  <si>
    <t>2.5.3</t>
  </si>
  <si>
    <t>Are skills assessments used to improve training programs?</t>
  </si>
  <si>
    <t>2.5.4</t>
  </si>
  <si>
    <t>Are the results of any periodic skill assessments used in the appraisal process?</t>
  </si>
  <si>
    <t>2.5.5</t>
  </si>
  <si>
    <t>Is there any form of annual SOC response exercise?</t>
  </si>
  <si>
    <t>2.5.6</t>
  </si>
  <si>
    <t>Are the results of a group training exercise used to improve SOC Operations?</t>
  </si>
  <si>
    <t>2.6 - Career Path</t>
  </si>
  <si>
    <t>2.6.1</t>
  </si>
  <si>
    <t>What is the feeder pool for SOC Analysts? NOC, Deskside support, External hires</t>
  </si>
  <si>
    <t>2.6.2</t>
  </si>
  <si>
    <t>Are over 50% of the SOC analysts hired for their SOC expertise?</t>
  </si>
  <si>
    <t>2.6.3</t>
  </si>
  <si>
    <t>Does the organization have a documented SOC analyst career progression plan?</t>
  </si>
  <si>
    <t>2.6.4</t>
  </si>
  <si>
    <t xml:space="preserve">Are SOC analysts promoted into other internal security positions? </t>
  </si>
  <si>
    <t>2.6.5</t>
  </si>
  <si>
    <t>Is there a SOC internal internship program? Job shadowing, into the SOC and from the SOC.</t>
  </si>
  <si>
    <t>2.7 - Leadership</t>
  </si>
  <si>
    <t>2.7.1</t>
  </si>
  <si>
    <t>Is there a maximum of 4:1 leverage of Level 1:2 analysts?</t>
  </si>
  <si>
    <t>2.7.2</t>
  </si>
  <si>
    <t>Does the SOC have a four year strategic plan?</t>
  </si>
  <si>
    <t>2.7.3</t>
  </si>
  <si>
    <t>Does the SOC have a dedicated manager?</t>
  </si>
  <si>
    <t>2.7.4</t>
  </si>
  <si>
    <t>Do all analysts report to the SOC manager?</t>
  </si>
  <si>
    <t>2.7.5</t>
  </si>
  <si>
    <t>Does the SOC manager have a weekly cadence with the SOC team?</t>
  </si>
  <si>
    <t>2.7.6</t>
  </si>
  <si>
    <t>Does the SOC manager have formal annual metoring program for the SOC?</t>
  </si>
  <si>
    <t>2.7.7</t>
  </si>
  <si>
    <t>Does the SOC manager participate in major security initiatives at the organization?</t>
  </si>
  <si>
    <t>2.7.8</t>
  </si>
  <si>
    <t>Does the SOC manager have the ability to influence the SOC budget?</t>
  </si>
  <si>
    <t>2.7.9</t>
  </si>
  <si>
    <t>Is a night manager assigned in the SOC?</t>
  </si>
  <si>
    <t>2.7.10</t>
  </si>
  <si>
    <t>Does the SOC manager report to the CISO or Security aparatus in the organization?</t>
  </si>
  <si>
    <t>2.7.11</t>
  </si>
  <si>
    <t>Does the SOC have a 360 degree feedback process?</t>
  </si>
  <si>
    <t>2.7.12</t>
  </si>
  <si>
    <t>Does the SOC manager have annual team strategy sessions with the team?</t>
  </si>
  <si>
    <t>2.1 - People Loading Matrix</t>
  </si>
  <si>
    <t>Please enter the number of resources, role etc., for the current SOC</t>
  </si>
  <si>
    <t>Role</t>
  </si>
  <si>
    <t>Function</t>
  </si>
  <si>
    <t>Number of resources</t>
  </si>
  <si>
    <t>2.3 - Resource Costing Model</t>
  </si>
  <si>
    <t>Please enter the fully loaded FTE costing for the existing SOC</t>
  </si>
  <si>
    <t>Fully loaded cost per resource</t>
  </si>
  <si>
    <t>CoBIT Metric/Maturity Model</t>
  </si>
  <si>
    <t>Metric</t>
  </si>
  <si>
    <t>Activity</t>
  </si>
  <si>
    <t>Assigned Responsibilities</t>
  </si>
  <si>
    <t>Documents in place</t>
  </si>
  <si>
    <t>KPI/KGI</t>
  </si>
  <si>
    <t>Level 0 - Does not exist</t>
  </si>
  <si>
    <t xml:space="preserve">No awareness of the importance of issues related to the activity. No monitoring is performed. No documentation exists. No activity improvement actions take place. </t>
  </si>
  <si>
    <t>No RACI relationship assigned</t>
  </si>
  <si>
    <t>Level 1 - Initial</t>
  </si>
  <si>
    <t>Some awareness of the importance of issues related to the activity. No monitoring is performed. No documentation exists. No activity improvement actions take place.</t>
  </si>
  <si>
    <t>25 % of RACI-relationships assigned.</t>
  </si>
  <si>
    <t>Level 2 - Repeatable</t>
  </si>
  <si>
    <t>Individuals have knowledge about issues related to the activity and take actions accordingly. No monitoring is performed. No documentation exists. No activity improvement actions take place.</t>
  </si>
  <si>
    <t>More than 26 % of RACI relationships assigned. 25 % or less of the identified relationships are in line with COBIT.</t>
  </si>
  <si>
    <t>Level 3 - Defined</t>
  </si>
  <si>
    <t>Affected personnel are trained in the means and goals of the activity. No monitoring is performed. Documentation is present. No activity improvement actions take place.</t>
  </si>
  <si>
    <t>More than 26 % of RACIrelationships assigned. 26- 74 % of the identified relationships are in line with COBIT.</t>
  </si>
  <si>
    <t>Affected personnel are trained in the means and goals of the activity. Monitoring is performed. Documentation is present. The activity is under constant improvement. Automated tools are employed in a limited and fragmented way</t>
  </si>
  <si>
    <t>re than 51 % of RACI relationships assigned. 51- 99 % of the identified relationships are in line with COBIT.</t>
  </si>
  <si>
    <t>Affected personnel are trained in the means and goals of the activity. Monitoring is performed. Documentation is present. Automated tools are employed in an integrated way, to improve quality and effectiveness of the activity.</t>
  </si>
  <si>
    <t>100 % of RACI-relationships assigned. 100 % of the identified relationships are in line with COBIT.</t>
  </si>
  <si>
    <t>3 - Process  Control Objectives</t>
  </si>
  <si>
    <t>3.1 - SOC Threat Management</t>
  </si>
  <si>
    <t>3.1.1</t>
  </si>
  <si>
    <t>Does the organization have a capability to real time capability to monitor for perimeter threats?</t>
  </si>
  <si>
    <t>Firewall logs being forwarded to SIEM. Rules configured to monitor network based attacks. Prevention mechanisms (e.g. IPS) does not exists.</t>
  </si>
  <si>
    <t>3.1.2</t>
  </si>
  <si>
    <t>Does the organization have a capability to real time capability to monitor for insider threats?</t>
  </si>
  <si>
    <t>3.1.3</t>
  </si>
  <si>
    <t>Does the organization have a capability to real time capability to monitor for DDoS threats?</t>
  </si>
  <si>
    <t>Firewall logs being forwarded to SIEM. Rules configured to monitor DDoS attacks. Prevention mechanisms (e.g. DDoS devices) does not exists.</t>
  </si>
  <si>
    <t>3.1.4</t>
  </si>
  <si>
    <t>Does the organization have a capability to real time capability to monitor for Persistent Threats?</t>
  </si>
  <si>
    <t xml:space="preserve">EDR agents installed on all the systems to prevent/ detect persistent attacks. EDR logs are currently not forwarded to SIEM (integration is in progress). </t>
  </si>
  <si>
    <t>3.1.5</t>
  </si>
  <si>
    <t>Does the organization have a capability to real time capability to monitor for Supply Chain Threats?</t>
  </si>
  <si>
    <t>3.1.6</t>
  </si>
  <si>
    <t>Does a formalized CSIRT exist?</t>
  </si>
  <si>
    <t>CSIRT function is defined as part of the Enterprise Incidenet Management function</t>
  </si>
  <si>
    <t>Adhoc at this stage. No real documentation. ESCF shows evidence but no documentation found. Security Incident Handling Procedure Document?</t>
  </si>
  <si>
    <t>3.1.7</t>
  </si>
  <si>
    <t>Does the Threat Monitoring capability have formalized integration with CSIRT?</t>
  </si>
  <si>
    <t>3.1.8</t>
  </si>
  <si>
    <t>Does the organization have a formalized threat determination and development methodology that is used by the Threat Monitoring capability?</t>
  </si>
  <si>
    <t>Speak to Aaron Morrison.</t>
  </si>
  <si>
    <t>New usecases are created and configured based on threat intelligence inputs</t>
  </si>
  <si>
    <t>3.1.9</t>
  </si>
  <si>
    <t>Testing for unvalidated input</t>
  </si>
  <si>
    <t>The security o[perations team has a tool to run scans against new websites.</t>
  </si>
  <si>
    <t>Detected and Prevented by AKAMAI WAF</t>
  </si>
  <si>
    <t>3.1.10</t>
  </si>
  <si>
    <t>Testing for broken access control</t>
  </si>
  <si>
    <t>3.1.11</t>
  </si>
  <si>
    <t>Testing for broken authentication control and session management</t>
  </si>
  <si>
    <t>3.1.12</t>
  </si>
  <si>
    <t>Testing for secure communications</t>
  </si>
  <si>
    <t>3.1.13</t>
  </si>
  <si>
    <t>Testing for cross site scripting attacks</t>
  </si>
  <si>
    <t>3.1.14</t>
  </si>
  <si>
    <t>Perform monthly review of PRA process effectiveness</t>
  </si>
  <si>
    <t>Peronnel Risk Assessment. Yes to access reviews on quarterly basis. Not specific to Personnel risk based on  roles. Network access specific only. All done by ETS for Service Operations (Paul Barry). Information Security Framework.</t>
  </si>
  <si>
    <t>3.1.15</t>
  </si>
  <si>
    <t>Perform monthly review of Cyber Training process effectiveness</t>
  </si>
  <si>
    <t>Rivka might refer to induction material</t>
  </si>
  <si>
    <t>3.1.16</t>
  </si>
  <si>
    <t>Does the SOC provide role based access to audit logs based on a "need to know" basis</t>
  </si>
  <si>
    <t>Security Operations currently does not collect logs.</t>
  </si>
  <si>
    <t>3.1.17</t>
  </si>
  <si>
    <t>Does the SOC generate alarm conditions based on Sample Company risk/threat use cases in real time</t>
  </si>
  <si>
    <t>Threat management process has no direct links to real time monitoring.</t>
  </si>
  <si>
    <t>3.1.18</t>
  </si>
  <si>
    <t>Does the SOC generate alarm conditions based on Sample Company specfied ESCF risk/threat use cases in real time</t>
  </si>
  <si>
    <t>Security Operations currently aligns with a Security framework, and is only just trying to more to ESCF.</t>
  </si>
  <si>
    <t>3.1.19</t>
  </si>
  <si>
    <t>Does the SOC generate an alarm condition for new vulnerability detected on critical/sensitive networks</t>
  </si>
  <si>
    <t>No logs are collected for real time monitoring.</t>
  </si>
  <si>
    <t>VMS solution is not integrated with SOC</t>
  </si>
  <si>
    <t>3.1.20</t>
  </si>
  <si>
    <t>Does the SOC generate an alarm condition for new port and service detected on critical/sensitive networks</t>
  </si>
  <si>
    <t>Network scanning solution is not integrated with SOC</t>
  </si>
  <si>
    <t>3.1.21</t>
  </si>
  <si>
    <t>Does the SOC correlate configuration changes against change management approved tickets</t>
  </si>
  <si>
    <t>SOC team does not receive the change approved tickets</t>
  </si>
  <si>
    <t>3.1.22</t>
  </si>
  <si>
    <t>Does the SOC generate an alarm condition when a default/vendor account has been used</t>
  </si>
  <si>
    <t>3.1.23</t>
  </si>
  <si>
    <t>Does the SOC generate an alarm condition when an account has been shared</t>
  </si>
  <si>
    <t>3.1.24</t>
  </si>
  <si>
    <t>Does the SOC generate an alarm condition when an expired/disabled user account has been accessed</t>
  </si>
  <si>
    <t>3.1.25</t>
  </si>
  <si>
    <t>Does the SOC generate an alarm condition when a previous employees user account has been accessed</t>
  </si>
  <si>
    <t>3.1.26</t>
  </si>
  <si>
    <t>Does the SOC prioritize alarming based on value to the business</t>
  </si>
  <si>
    <t>3.1.27</t>
  </si>
  <si>
    <t>Does the SOC generate alarm in instances of unauthorized configuration changes</t>
  </si>
  <si>
    <t>3.1.28</t>
  </si>
  <si>
    <t>Does the SOC generate an alarm for anomolous or unauthorized access controls</t>
  </si>
  <si>
    <t>3.1.29</t>
  </si>
  <si>
    <t>Does the SOC generate an alarm for anomolous network flow</t>
  </si>
  <si>
    <t>3.1.30</t>
  </si>
  <si>
    <t>Does the SOC generate an alarm for unauthorized maintenance or mis-use of privilege</t>
  </si>
  <si>
    <t>Usecases enabled for privileged user login</t>
  </si>
  <si>
    <t>3.1.31</t>
  </si>
  <si>
    <t>Does the SOC generate an alarm on deviation from segregation of duties</t>
  </si>
  <si>
    <t>3.1.32</t>
  </si>
  <si>
    <t>Does the SOC alarm on any failed log into the ESP</t>
  </si>
  <si>
    <t>EP are not monitored for failed/ unauthorised login</t>
  </si>
  <si>
    <t>3.1.33</t>
  </si>
  <si>
    <t>Does the SOC alarm on any login attempt to the ESP that is not authorized</t>
  </si>
  <si>
    <t>3.1.34</t>
  </si>
  <si>
    <t>SOC will alarm on attempts at or actual unauthorized accesses.</t>
  </si>
  <si>
    <t>3.1.35</t>
  </si>
  <si>
    <t>Does the SOC alarm if a physical door, gate or window is opened outside of normal activity</t>
  </si>
  <si>
    <t>3.1.36</t>
  </si>
  <si>
    <t>Does the SOC alarm under unsual network flow or worm type activitity</t>
  </si>
  <si>
    <t>3.1.37</t>
  </si>
  <si>
    <t>Does the SOC monitor unusual activity from AV and anti-malware devices</t>
  </si>
  <si>
    <t>Security Operations has AV responsibilities.  Some alarms are in place but no real time monitoring is in place.</t>
  </si>
  <si>
    <t>3.1.38</t>
  </si>
  <si>
    <t>Does the SOC detect unauthorized use of indivudual or shared system accounts</t>
  </si>
  <si>
    <t>3.1.39</t>
  </si>
  <si>
    <t>Does the SOC detect if user accounts are created without approval from designated personnel</t>
  </si>
  <si>
    <t>3.1.40</t>
  </si>
  <si>
    <t>Does the SOC detect use of unauthorized ports and services required for operations</t>
  </si>
  <si>
    <t>RDP access not from CyberArk</t>
  </si>
  <si>
    <t>3.1.41</t>
  </si>
  <si>
    <t>Does the SOC have a documented exception handling process?</t>
  </si>
  <si>
    <t>3.1.42</t>
  </si>
  <si>
    <t>Does the SOC have documented threat management daily quality assurance measures?</t>
  </si>
  <si>
    <t>Daily / Weekly reports are shared</t>
  </si>
  <si>
    <t>3.1.43</t>
  </si>
  <si>
    <t>Does the SOC have documented threat management weekly quality assurance measures?</t>
  </si>
  <si>
    <t>3.2 - SOC Analytical Process</t>
  </si>
  <si>
    <t>3.2.1</t>
  </si>
  <si>
    <t>Does the SOC have a documented process for SOC Base Event Analysis?</t>
  </si>
  <si>
    <t>3.2.2</t>
  </si>
  <si>
    <t>Does the SOC have a documented process for SOC Alarm Event Analysis?</t>
  </si>
  <si>
    <t>3.2.3</t>
  </si>
  <si>
    <t>Does the SOC have documented threat playbooks and decision trees for critical use cases?</t>
  </si>
  <si>
    <t>3.2.4</t>
  </si>
  <si>
    <t>Does the SOC have documented procedures for detecting low and slow attacks?</t>
  </si>
  <si>
    <t>UEBA not enabled</t>
  </si>
  <si>
    <t>3.2.5</t>
  </si>
  <si>
    <t>Does the SOC have documented procedures for detecting anomolies and outliers?</t>
  </si>
  <si>
    <t>3.2.6</t>
  </si>
  <si>
    <t>Does the SOC have a documented procedure for case handover for high severity alarms?</t>
  </si>
  <si>
    <t>3.2.7</t>
  </si>
  <si>
    <t>Does the SOC have a documented Intrusion Analysis procedure?</t>
  </si>
  <si>
    <t>3.2.8</t>
  </si>
  <si>
    <t>Do process/plan?s exist for scheduled mock threat scenarios?</t>
  </si>
  <si>
    <t>3.2.9</t>
  </si>
  <si>
    <t>Do process/plan?s exist for ad-hoc mock threat scenarios?</t>
  </si>
  <si>
    <t>3.2.10</t>
  </si>
  <si>
    <t>Does a process/plan?exist to develop new threat scenarios (use cases)?</t>
  </si>
  <si>
    <t>3.2.11</t>
  </si>
  <si>
    <t>Is there a structured process/plan?for developing these threat scenarios?</t>
  </si>
  <si>
    <t>3.2.12</t>
  </si>
  <si>
    <t>How are unknown events diagnosed?</t>
  </si>
  <si>
    <t>3.2.13</t>
  </si>
  <si>
    <t>Does the SOC have a documented Subtle event detection procedure?</t>
  </si>
  <si>
    <t>3.2.14</t>
  </si>
  <si>
    <t>Does the SOC have subtle event tools and training?</t>
  </si>
  <si>
    <t>3.2.15</t>
  </si>
  <si>
    <t>Is there a comprehensive listing of reports, their audience and business purpose?</t>
  </si>
  <si>
    <t>Security operations currently provide reporting for various teams.</t>
  </si>
  <si>
    <t>3.2.16</t>
  </si>
  <si>
    <t>How is operational and analytical security information shared?</t>
  </si>
  <si>
    <t>3.2.17</t>
  </si>
  <si>
    <t>How is external situational awareness maintained? CERT/CC, NIPC, Information Fusion Procedure</t>
  </si>
  <si>
    <t>3.2.18</t>
  </si>
  <si>
    <t>Does the SOC have a focused monitoring procedure?</t>
  </si>
  <si>
    <t>3.2.19</t>
  </si>
  <si>
    <t>Does the SOC have a new analyst boarding procedure?</t>
  </si>
  <si>
    <t>3.2.20</t>
  </si>
  <si>
    <t>Does the SOC subscribe to external Intelligence services? iDefense, Symantec, ISS, etc...</t>
  </si>
  <si>
    <t>3.2.21</t>
  </si>
  <si>
    <t>Is there a documented process/plan?for filtering out known false positives?</t>
  </si>
  <si>
    <t>3.2.22</t>
  </si>
  <si>
    <t>Are all correlation logic and rules documented?</t>
  </si>
  <si>
    <t>3.2.23</t>
  </si>
  <si>
    <t>Does the SOC have up-to-date network diagrams and information?</t>
  </si>
  <si>
    <t>3.3 - SOC Engineering Processes</t>
  </si>
  <si>
    <t>3.3.1</t>
  </si>
  <si>
    <t>Does the SOC have a documented process for onboarding new event sources?</t>
  </si>
  <si>
    <t>3.3.2</t>
  </si>
  <si>
    <t>Does the SOC have a documented process for onboarding new requests?</t>
  </si>
  <si>
    <t>3.3.3</t>
  </si>
  <si>
    <t>Does the SOC have a documented process for the structure, hierachy and work instructions for implementing SIEM content?</t>
  </si>
  <si>
    <t>3.3.4</t>
  </si>
  <si>
    <t>Does the SOC have a documented process for conducting capacity analysis and forcasting on an annual (or on new request for coverage from LoB's) cycle?</t>
  </si>
  <si>
    <t>3.3.5</t>
  </si>
  <si>
    <t>Does the SOC have configuration playbooks for common SOC tasks?</t>
  </si>
  <si>
    <t>3.3.6</t>
  </si>
  <si>
    <t>Does the SOC have maintenance handbooks for maintenance of SOC technology?</t>
  </si>
  <si>
    <t>3.3.7</t>
  </si>
  <si>
    <t>Does the SOC have maintenance handbooks for failure recovery of SOC technology?</t>
  </si>
  <si>
    <t>3.3.8</t>
  </si>
  <si>
    <t>Does the SOC have a timetable (and procedures) for scheduled update and patching of SOC technology?</t>
  </si>
  <si>
    <t>3.3.9</t>
  </si>
  <si>
    <t>Does the SOC have a timetable (and procedures) for security context updates (e.g. geocode, connector updates etc)?</t>
  </si>
  <si>
    <t>3.3.10</t>
  </si>
  <si>
    <t>Does the SOC have templates to provide to requestors for SOC services (e.g. requesting new creports or SOC review processes)?</t>
  </si>
  <si>
    <t>3.3.11</t>
  </si>
  <si>
    <t>Are service requests handled by a dedicated SOC Engineer?</t>
  </si>
  <si>
    <t>3.3.12</t>
  </si>
  <si>
    <t>Does the SOC have a documented process for priotizing and providing SLO for service requests?</t>
  </si>
  <si>
    <t>3.4 - SOC Operations and Continuity</t>
  </si>
  <si>
    <t>3.4.1</t>
  </si>
  <si>
    <t>Does the SOC have a documented change management process/plan (for the SOC)?</t>
  </si>
  <si>
    <t>Yes they do. Yes it is documented.</t>
  </si>
  <si>
    <t>3.4.2</t>
  </si>
  <si>
    <t>Does the SOC have a documented capacity planning process/plan (for the SOC)?</t>
  </si>
  <si>
    <t>Yes but part of ETS.</t>
  </si>
  <si>
    <t>3.4.3</t>
  </si>
  <si>
    <t>Does the SOC have a documented release management process/plan (for the SOC)?</t>
  </si>
  <si>
    <t>Part of the greater release management process.</t>
  </si>
  <si>
    <t>3.4.4</t>
  </si>
  <si>
    <t>Does the SOC have a documented configuration management process/plan?</t>
  </si>
  <si>
    <t>Implemented as part of the greater change management process. No evidence to show that they review that the configuration is implemented.</t>
  </si>
  <si>
    <t>3.4.5</t>
  </si>
  <si>
    <t>Does the SOC have a documented availability management process/plan?</t>
  </si>
  <si>
    <t>Service level management is implemented and is customer driven.  Nothing specific for security for availability management.</t>
  </si>
  <si>
    <t>3.4.6</t>
  </si>
  <si>
    <t>Does the SOC have a documented quality management process/plan?</t>
  </si>
  <si>
    <t>Nothing found in ESCF.</t>
  </si>
  <si>
    <t>3.4.7</t>
  </si>
  <si>
    <t>Does the SOC have a documented threat management process/plan?and handbook?</t>
  </si>
  <si>
    <t>Threat management is currently done, with intelligence reports used, but it is not fully documented.</t>
  </si>
  <si>
    <t>Part of the vulnerability and threat management ETS Pillar.</t>
  </si>
  <si>
    <t>3.4.8</t>
  </si>
  <si>
    <t>Does the SOC have a documented Incident handling process/plan?</t>
  </si>
  <si>
    <t>Ad-hoc only. Security Incident Management Procedure Document. Aaron Ta to follow-up.</t>
  </si>
  <si>
    <t>3.4.9</t>
  </si>
  <si>
    <t>Does the SOC have interdepartment process/plan?s for routing of calls from non authenticated sources?</t>
  </si>
  <si>
    <t>No known hotline process.</t>
  </si>
  <si>
    <t>3.4.10</t>
  </si>
  <si>
    <t>Does the SOC have interdepartment process/plan?s for employee handling?</t>
  </si>
  <si>
    <t>3.4.11</t>
  </si>
  <si>
    <t>Does the SOC have a documented Case management process/plan?</t>
  </si>
  <si>
    <t xml:space="preserve">Remedy BMC Tool used as case management tool. Documentation </t>
  </si>
  <si>
    <t>3.4.12</t>
  </si>
  <si>
    <t>Does the SOC create cases within your SIEM implementation or Does the SOC use an external case management system?</t>
  </si>
  <si>
    <t>Tickets are created on central ITSM tool (SNOW)</t>
  </si>
  <si>
    <t>3.4.13</t>
  </si>
  <si>
    <t>Does the SOC have a formal shift log process/plan?</t>
  </si>
  <si>
    <t>Security operations is currently not a SOC and has no shifts.  Monitoring is only during business hours.</t>
  </si>
  <si>
    <t>3.4.14</t>
  </si>
  <si>
    <t>Does the SOC have the capability to review old shift logs with ease?</t>
  </si>
  <si>
    <t>No logs are currently collected.</t>
  </si>
  <si>
    <t>3.4.15</t>
  </si>
  <si>
    <t>Does the SOC have a daily meeting to review SOC activity?</t>
  </si>
  <si>
    <t>3.4.16</t>
  </si>
  <si>
    <t>Does the SOC have a documented shift turn-over process/plan?</t>
  </si>
  <si>
    <t>3.4.17</t>
  </si>
  <si>
    <t>Are shift logs formally acknowledged?</t>
  </si>
  <si>
    <t>3.4.18</t>
  </si>
  <si>
    <t>Are shift logs reviewed by level-2 analysts and management?</t>
  </si>
  <si>
    <t>3.4.19</t>
  </si>
  <si>
    <t>Is there trend analysis for operational process/plan?s?</t>
  </si>
  <si>
    <t>KPIs are reviewed on a monthly basis</t>
  </si>
  <si>
    <t>3.4.20</t>
  </si>
  <si>
    <t>Does the SOC have expected and unexpected absense policies?</t>
  </si>
  <si>
    <t>Part of the Sample Company employment contract.</t>
  </si>
  <si>
    <t>3.4.21</t>
  </si>
  <si>
    <t>Does the SOC have a documented console monitoring process/plan?</t>
  </si>
  <si>
    <t>3.4.22</t>
  </si>
  <si>
    <t>Does the SOC have a documented problem and change process/plan?</t>
  </si>
  <si>
    <t>3.4.23</t>
  </si>
  <si>
    <t>Does the SOC cover 24x7x365?</t>
  </si>
  <si>
    <t>3.4.24</t>
  </si>
  <si>
    <t>Does the SOC approve/review all Security device changes?</t>
  </si>
  <si>
    <t>Security operations currently reviews firewall changes.</t>
  </si>
  <si>
    <t>Network devices config changes / firewall rule changes are not monitored</t>
  </si>
  <si>
    <t>3.4.25</t>
  </si>
  <si>
    <t>Does the SOC have documented visualizations / dashboards for large screens?</t>
  </si>
  <si>
    <t>3.4.26</t>
  </si>
  <si>
    <t>Are non-employee visitors allowed in the SOC?</t>
  </si>
  <si>
    <t>Security operations currently sits on the general office floor, shared with the other IT operation functions.</t>
  </si>
  <si>
    <t>Visitors are not allowed</t>
  </si>
  <si>
    <t>3.4.27</t>
  </si>
  <si>
    <t>Is there a SOC tour protocol?</t>
  </si>
  <si>
    <t>3.4.28</t>
  </si>
  <si>
    <t>Is the SOC physically secure?</t>
  </si>
  <si>
    <t>3.4.29</t>
  </si>
  <si>
    <t>Is multifactor (incl. biometric) used for SOC access?</t>
  </si>
  <si>
    <t>3.4.30</t>
  </si>
  <si>
    <t>Are all badge accesses individually logged? (no tailgating)</t>
  </si>
  <si>
    <t>3.4.31</t>
  </si>
  <si>
    <t>Does a process/plan?exist to ensure audit compliance?</t>
  </si>
  <si>
    <t>3.4.32</t>
  </si>
  <si>
    <t>Does the SOC have access to security devices consoles and tools for analysis?</t>
  </si>
  <si>
    <t>3.4.33</t>
  </si>
  <si>
    <t>Are all process/plan?In additiona are processes and lessons learnt managed in a closed loop?</t>
  </si>
  <si>
    <t>3.4.34</t>
  </si>
  <si>
    <t>Is your triage process/plan?documented?</t>
  </si>
  <si>
    <t>3.4.35</t>
  </si>
  <si>
    <t>Is your escalation process/plan?documented?</t>
  </si>
  <si>
    <t>3.4.36</t>
  </si>
  <si>
    <t>Is there a formal (documented) lessons learned process/plan?for all call-outs?</t>
  </si>
  <si>
    <t>3.4.37</t>
  </si>
  <si>
    <t>Is there a documented plan for handling a large scale crisis?</t>
  </si>
  <si>
    <t>They are aware of this, but have never had it fully documented because they have never had a major crisis.</t>
  </si>
  <si>
    <t>3.4.38</t>
  </si>
  <si>
    <t>How frequently are all process/plan?s tested?</t>
  </si>
  <si>
    <t>3.4.39</t>
  </si>
  <si>
    <t>Does the SOC have disaster recovery steps in place?</t>
  </si>
  <si>
    <t>3.4.40</t>
  </si>
  <si>
    <t>Does the SOC have contingency and pandemic planning processes?</t>
  </si>
  <si>
    <t>3.4.41</t>
  </si>
  <si>
    <t>The company has conducted a formal inventory of all infrastructure components.</t>
  </si>
  <si>
    <t>3.4.42</t>
  </si>
  <si>
    <t>The company has a content database (CMDB) or other method(s) to store inventory information.</t>
  </si>
  <si>
    <t>3.4.43</t>
  </si>
  <si>
    <t>Inventory information is centralized. Please indicate the underlying technology used (or technologies if decentralized), e.g. Oracle database, Excel spreadsheets, etc.?</t>
  </si>
  <si>
    <t>3.4.44</t>
  </si>
  <si>
    <t>All hardware, software, network devices, remote access, etc. is included in this inventory information. Please indicate if anything is excluded or incomplete.</t>
  </si>
  <si>
    <t>3.4.45</t>
  </si>
  <si>
    <t>The company has an asset-based threat profile to determine criticality of each device.</t>
  </si>
  <si>
    <t>This is part of the Enterprise Incident Management function.</t>
  </si>
  <si>
    <t>3.4.46</t>
  </si>
  <si>
    <t>Threat profile information is tracked in the inventory.</t>
  </si>
  <si>
    <t>All incidents are handed to the enterprise incident management function immediately.</t>
  </si>
  <si>
    <t>3.4.47</t>
  </si>
  <si>
    <t>The inventory maps applications, databases residing on systems, and includes IP addresses and asset owner.</t>
  </si>
  <si>
    <t>3.4.48</t>
  </si>
  <si>
    <t>There is a periodic validation method to determine completeness and accuracy of the asset inventory.</t>
  </si>
  <si>
    <t>3.4.49</t>
  </si>
  <si>
    <t xml:space="preserve">The asset inventory is updated with regular frequency. </t>
  </si>
  <si>
    <t>3.4.50</t>
  </si>
  <si>
    <t>There is a formal process to update new software and hardware acquisitions into the inventory.</t>
  </si>
  <si>
    <t>Contact lists are maintained by the enterprise incident management team</t>
  </si>
  <si>
    <t>3.5 - SOC Incident Coordination</t>
  </si>
  <si>
    <t>3.5.1</t>
  </si>
  <si>
    <t>Does the SOC develop and document its Forward Command Center Incident Management procedures and program to integrate with the Enterprise CIRT team.</t>
  </si>
  <si>
    <t>3.5.2</t>
  </si>
  <si>
    <t>SOC is required to assume role of interim CSIRT coordinator until a formal handover has occurred to the corporate CSIRT coordinator</t>
  </si>
  <si>
    <t>3.5.3</t>
  </si>
  <si>
    <t>Does the SOC maintain tickets of all open and close tickets for Incidents that originated from the SOC.</t>
  </si>
  <si>
    <t>3.5.4</t>
  </si>
  <si>
    <t>Does the SOC triage incidents based on an agreed threat matrix</t>
  </si>
  <si>
    <t>Rivka is the ad-hoc portfolio manager</t>
  </si>
  <si>
    <t>3.5.5</t>
  </si>
  <si>
    <t>Does the SOC track Incidents for response SLA's</t>
  </si>
  <si>
    <t>3.5.6</t>
  </si>
  <si>
    <t>Does the SOC maintain a CSIRT contact list</t>
  </si>
  <si>
    <t>They have an awareness that it will need to be done.</t>
  </si>
  <si>
    <t>3.5.7</t>
  </si>
  <si>
    <t>Does the SOC review and update the CSIRT contact list every six months</t>
  </si>
  <si>
    <t>3.5.8</t>
  </si>
  <si>
    <t>Does the SOC coordinate communications between internal and external parties as part of the first responder activities, until this responsibility is transferred to the CSIRT coordinator</t>
  </si>
  <si>
    <t>3.5.9</t>
  </si>
  <si>
    <t>SOC is responsible for maintaining chain of custody of evidence during an investigation</t>
  </si>
  <si>
    <t>3.5.10</t>
  </si>
  <si>
    <t>SOC will adapt a "Duty of Care" philosphy when handling evidence</t>
  </si>
  <si>
    <t>3.5.11</t>
  </si>
  <si>
    <t>Does the SOC train its staff on the appropriate workflow for Incident Management</t>
  </si>
  <si>
    <t>3.6.12</t>
  </si>
  <si>
    <t>Are alerts automatically entered into a workflow, ticketing or case management system?</t>
  </si>
  <si>
    <t>3.6 - SOC Portfolio Management</t>
  </si>
  <si>
    <t>3.6.1</t>
  </si>
  <si>
    <t>Have SOC quality and performance metrics been defined, measurable and built within the strategic plan?</t>
  </si>
  <si>
    <t>3.6.2</t>
  </si>
  <si>
    <t>Has a SOC porfolio manager and process/plan?been defined?</t>
  </si>
  <si>
    <t>3.6.3</t>
  </si>
  <si>
    <t>Does a program exist to define Key Risk and Performance Indicators?</t>
  </si>
  <si>
    <t>3.6.4</t>
  </si>
  <si>
    <t>If the program exists are these metrics reported into the organization's ISMS?</t>
  </si>
  <si>
    <t>3.6.5</t>
  </si>
  <si>
    <t>What is your shift schedule? How many analysts per shift?</t>
  </si>
  <si>
    <t>3.6.6</t>
  </si>
  <si>
    <t>What metrics are collected for SOC Operations? Show them to us?</t>
  </si>
  <si>
    <t>Analyst response time, MTTR, MTTA</t>
  </si>
  <si>
    <t>3.6.7</t>
  </si>
  <si>
    <t>Does your SOC have defined SLAs?</t>
  </si>
  <si>
    <t>3.6.8</t>
  </si>
  <si>
    <t>What are considered KPIs for SOC Operations?</t>
  </si>
  <si>
    <t>True positive counts, integration compliance</t>
  </si>
  <si>
    <t>3.6.9</t>
  </si>
  <si>
    <t>What are your metrics used for?</t>
  </si>
  <si>
    <t>Continous improvement</t>
  </si>
  <si>
    <t>3.6.10</t>
  </si>
  <si>
    <t>Does the SOC know your events per analyst hour?</t>
  </si>
  <si>
    <t>3.6.11</t>
  </si>
  <si>
    <t>Does the SOC have a maturity program? What approach is it based on?</t>
  </si>
  <si>
    <t>Can you show us your last full audit results? Maturity &amp; Compliance.</t>
  </si>
  <si>
    <t>3.6.13</t>
  </si>
  <si>
    <t>Is there an assigned budget for the SOC ?</t>
  </si>
  <si>
    <t>3.6.14</t>
  </si>
  <si>
    <t>Does the SOC produce any financial metrics? (e.g. cost per event, efficiency)</t>
  </si>
  <si>
    <t>3.6.15</t>
  </si>
  <si>
    <t>Does the SOC have a documented auditing process/plan?and periodicity?</t>
  </si>
  <si>
    <t>3.6.16</t>
  </si>
  <si>
    <t>Does the SOC have documented compliance process/plan?ss for external regulations?</t>
  </si>
  <si>
    <t>3.6.17</t>
  </si>
  <si>
    <t>Does the SOC have documented compliance process/plan?s for internal policies?</t>
  </si>
  <si>
    <t>3.6.18</t>
  </si>
  <si>
    <t>Does the SOC have a Business Continuity / Disaster Recovery plan for the SOC?</t>
  </si>
  <si>
    <t>3.6.19</t>
  </si>
  <si>
    <t>Has the BCP/DR plan been tested for the SOC?</t>
  </si>
  <si>
    <t>3.6.20</t>
  </si>
  <si>
    <t>Does the SOC have an agile process/plan for SOC development?</t>
  </si>
  <si>
    <t>3.6.21</t>
  </si>
  <si>
    <t>Does the SOC have a documentation methodology for SOC development?</t>
  </si>
  <si>
    <t>3.6.22</t>
  </si>
  <si>
    <t>Are metrics gathered for IVR systems for SOC related calls?</t>
  </si>
  <si>
    <t>3.6.23</t>
  </si>
  <si>
    <t>Is the SOC central number clearly communicated to the Help Desk?</t>
  </si>
  <si>
    <t>3.6.24</t>
  </si>
  <si>
    <t>Is the SOC central number clearly communicated to managers?</t>
  </si>
  <si>
    <t>3.6.25</t>
  </si>
  <si>
    <t>Is the SOC central number clearly communicated to physical security officers?</t>
  </si>
  <si>
    <t>3.6.26</t>
  </si>
  <si>
    <t>Do all of your consulting contracts have performance criteria?</t>
  </si>
  <si>
    <t>3.7 - Impact Analysis</t>
  </si>
  <si>
    <t>3.7.1</t>
  </si>
  <si>
    <t>Organization has a formalized threat impact assessment methodology?</t>
  </si>
  <si>
    <t>3.7.2</t>
  </si>
  <si>
    <t>The threat impact assessment has a documented work flow with associated decision tree, callout and validation gates.</t>
  </si>
  <si>
    <t>3.7.3</t>
  </si>
  <si>
    <t>The SOC uses the threat impact assessment for determining escalation through the various tiered levels?</t>
  </si>
  <si>
    <t>3.7.4</t>
  </si>
  <si>
    <t>The SOC has documented approval for threat management activities that stem from the impact analysis?</t>
  </si>
  <si>
    <t>3.7.5</t>
  </si>
  <si>
    <t>The SOC has impact assessment procedures for non technology originated escalations (e.g. call into the SOC)?</t>
  </si>
  <si>
    <t>3.7.6</t>
  </si>
  <si>
    <t>The SOC has automated impact assessment tools for non technology originated escalations?</t>
  </si>
  <si>
    <t>3.7.7</t>
  </si>
  <si>
    <t>The company performs remediation, and has formal processes to determine whether an issue requires remediation, what is the cost to remediate, etc.?</t>
  </si>
  <si>
    <t>3.7.8</t>
  </si>
  <si>
    <t>The company has formal methods to track remediation efforts to completion?</t>
  </si>
  <si>
    <t>4 - ArcSight Specific Questions</t>
  </si>
  <si>
    <t>Architecture</t>
  </si>
  <si>
    <t>How many SmartConnectors exist?</t>
  </si>
  <si>
    <t>How many Connector Appliances or SmartConnector servers?</t>
  </si>
  <si>
    <t>How many Loggers does the organization have and which model?</t>
  </si>
  <si>
    <t>How many ESM managers does the organization have?</t>
  </si>
  <si>
    <t>How many ESM databases does the organization have?</t>
  </si>
  <si>
    <t>Rates</t>
  </si>
  <si>
    <t>Please document the SmartConnector insertion rate for the Connectors?</t>
  </si>
  <si>
    <t>Please document the Logger input (receiver) eps per Logger</t>
  </si>
  <si>
    <t>Please document the ESM input eps?</t>
  </si>
  <si>
    <t>Version</t>
  </si>
  <si>
    <t>What are the Connector versions?</t>
  </si>
  <si>
    <t>What are the Logger version (if separate)?</t>
  </si>
  <si>
    <t>What is the ESM version?</t>
  </si>
  <si>
    <t>What is the Oracle DB version?</t>
  </si>
  <si>
    <t>5.1 - Infrastructure Event Coverage</t>
  </si>
  <si>
    <t>5.1.1</t>
  </si>
  <si>
    <t>Does the organization collect logs from File and Print Servers?</t>
  </si>
  <si>
    <t>5.1.2</t>
  </si>
  <si>
    <t>Does the organization collect logs from Application Servers?</t>
  </si>
  <si>
    <t>5.1.3</t>
  </si>
  <si>
    <t>Does the organization collect logs from NOS Authentication Servers (e.g. AD)?</t>
  </si>
  <si>
    <t>5.1.4</t>
  </si>
  <si>
    <t>Does the organization classify and collect logs from critical servers?</t>
  </si>
  <si>
    <t>5.1.5</t>
  </si>
  <si>
    <t>Does the organization classify and collect logs from servers that have classified data sets?</t>
  </si>
  <si>
    <t>5.1.6</t>
  </si>
  <si>
    <t>Does the organization distinguish between classification between data sets (within the SOC)?</t>
  </si>
  <si>
    <t>5.1.7</t>
  </si>
  <si>
    <t>Does the organization collect syslog from *NIX servers?</t>
  </si>
  <si>
    <t>5.1.8</t>
  </si>
  <si>
    <t>Does the organization collect logs from enhanced auditing sub-sytems from *NIX (e.g. Solaris BSM)?</t>
  </si>
  <si>
    <t>5.1.9</t>
  </si>
  <si>
    <t>Does the organization collect logs from super user access control sub-systems?</t>
  </si>
  <si>
    <t>5.2 - Security Devices Coverage</t>
  </si>
  <si>
    <t>5.2.1</t>
  </si>
  <si>
    <t>Does the organization collect logs from firewall inspection points?</t>
  </si>
  <si>
    <t>5.2.2</t>
  </si>
  <si>
    <t>Does the organization collect logs from management of firewalls (e.g. firewall admin logging)?</t>
  </si>
  <si>
    <t>5.2.3</t>
  </si>
  <si>
    <t>Does the organization collect logs from the firewall OS (if applicable)? Please allocate 5 points if not applicable)?</t>
  </si>
  <si>
    <t>5.2.4</t>
  </si>
  <si>
    <t>Does the organization collect logs from IDS/IPS?</t>
  </si>
  <si>
    <t>5.2.5</t>
  </si>
  <si>
    <t>Does the organization collect scan context from vulnerability scanners and use it for correlation)?</t>
  </si>
  <si>
    <t>5.2.6</t>
  </si>
  <si>
    <t>Does the organization collect port context from port scanners (and use it for correlation)?</t>
  </si>
  <si>
    <t>5.2.7</t>
  </si>
  <si>
    <t>Does the organization collect web security context from web scanners (and use it for correlation)?</t>
  </si>
  <si>
    <t>5.2.8</t>
  </si>
  <si>
    <t>Does the organization collect logs from authentication servers?</t>
  </si>
  <si>
    <t>5.2.9</t>
  </si>
  <si>
    <t>Does the organization collect logs from token authentication servers?</t>
  </si>
  <si>
    <t>5.2.10</t>
  </si>
  <si>
    <t>Does the organization collect logs from Site to Site VPN's?</t>
  </si>
  <si>
    <t>5.2.11</t>
  </si>
  <si>
    <t>Does the organization collect logs from SSL VPN's?</t>
  </si>
  <si>
    <t>5.2.12</t>
  </si>
  <si>
    <t>Does the organization collect logs from external terminal servers (e.g. Citrix)?</t>
  </si>
  <si>
    <t>5.2.13</t>
  </si>
  <si>
    <t>Does the organization collect logs from internal terminal servers?</t>
  </si>
  <si>
    <t>5.2.14</t>
  </si>
  <si>
    <t>Does the organization collect logs from Wireless IDS and Rogue device detectors?</t>
  </si>
  <si>
    <t>5.2.15</t>
  </si>
  <si>
    <t>Does the organization collect logs from file integrity sensors (e.g. Tripwire)?</t>
  </si>
  <si>
    <t>5.2.16</t>
  </si>
  <si>
    <t>Does the organization collect logs from Password Vaulting systems?</t>
  </si>
  <si>
    <t>5.3 - Advanced Threat Coverage</t>
  </si>
  <si>
    <t>5.3.1</t>
  </si>
  <si>
    <t>Does the organization collect logs from web content inspection devices?</t>
  </si>
  <si>
    <t>5.3.2</t>
  </si>
  <si>
    <t>Does the organization collect logs from SMTP content inspection devices?</t>
  </si>
  <si>
    <t>5.3.3</t>
  </si>
  <si>
    <t>Does the organization collect logs from network forensic devices?</t>
  </si>
  <si>
    <t>5.3.4</t>
  </si>
  <si>
    <t>Does the organization collect logs from malware analysis devices?</t>
  </si>
  <si>
    <t>5.3.5</t>
  </si>
  <si>
    <t>Does the organization collect logs from proxy servers?</t>
  </si>
  <si>
    <t>5.3.6</t>
  </si>
  <si>
    <t>Does the organization collect logs from DHCP servers?</t>
  </si>
  <si>
    <t>5.3.7</t>
  </si>
  <si>
    <t>Does the organization collect logs from forwarding DNS?</t>
  </si>
  <si>
    <t>5.3.8</t>
  </si>
  <si>
    <t>Does the organization collect logs from authoritative DNS?</t>
  </si>
  <si>
    <t>5.4 - Network Device Coverage</t>
  </si>
  <si>
    <t>5.4.1</t>
  </si>
  <si>
    <t>Does the organization collect logs from access level switches?</t>
  </si>
  <si>
    <t>5.4.2</t>
  </si>
  <si>
    <t>Does the organization collect logs from distribution level switches?</t>
  </si>
  <si>
    <t>5.4.3</t>
  </si>
  <si>
    <t>Does the organization collect logs from WAN routers/switches?</t>
  </si>
  <si>
    <t>5.4.4</t>
  </si>
  <si>
    <t>Does the organizaiton collect logs from Core routers/switches?</t>
  </si>
  <si>
    <t>5.4.5</t>
  </si>
  <si>
    <t>Does the organization collect logs from perimeter network devices?</t>
  </si>
  <si>
    <t>5.4.6</t>
  </si>
  <si>
    <t>Does the organization collect logs from assynchronize terminals?</t>
  </si>
  <si>
    <t>5.4.7</t>
  </si>
  <si>
    <t>Does the organization collect flows from network devices?</t>
  </si>
  <si>
    <t>5.4.8</t>
  </si>
  <si>
    <t>Does the organization collect logs from AAA systems (e.g. SecureACS)?</t>
  </si>
  <si>
    <t>5.4.9</t>
  </si>
  <si>
    <t>Does the organization collect logs from Network Management Systems)</t>
  </si>
  <si>
    <t>5.4.10</t>
  </si>
  <si>
    <t>5.4.11</t>
  </si>
  <si>
    <t>Does the organization collect logs from Wireless Access Points?</t>
  </si>
  <si>
    <t>5.4.12</t>
  </si>
  <si>
    <t>Does the organization collect logs from Wireless Control Systems?</t>
  </si>
  <si>
    <t>5.4.13</t>
  </si>
  <si>
    <t>Does the organization collect logs from VoIP call center servers?</t>
  </si>
  <si>
    <t>5.5 - Application Coverage</t>
  </si>
  <si>
    <t>5.5.1</t>
  </si>
  <si>
    <t xml:space="preserve">Are there specific standards on logging and/or instrumentation for your applications?  These may either be COTS (Customn Off the Shelf) or Custom. </t>
  </si>
  <si>
    <t>5.5.2</t>
  </si>
  <si>
    <t>Does the organization have a portfolio of applications that require monitoring and review?</t>
  </si>
  <si>
    <t>5.5.3</t>
  </si>
  <si>
    <t>Are there currently, or there is planned, an adoption of Enterprise Service Bus or SOA (Service Oriented Architecture)?</t>
  </si>
  <si>
    <t>5.5.4</t>
  </si>
  <si>
    <t>Does the organization collect logs from critical database servers?</t>
  </si>
  <si>
    <t>5.5.5</t>
  </si>
  <si>
    <t>Does the organization collect logs from critical application servers?</t>
  </si>
  <si>
    <t>5.5.6</t>
  </si>
  <si>
    <t>Does the organization collect logs from critical web servers?</t>
  </si>
  <si>
    <t>5.5.7</t>
  </si>
  <si>
    <t>Does the organzation collect logs from perimeter application/web servers?</t>
  </si>
  <si>
    <t>5.6 - Use Case Enablers</t>
  </si>
  <si>
    <t>5.6.1</t>
  </si>
  <si>
    <t>Are raw events monitored or are correlated events monitored?</t>
  </si>
  <si>
    <t>5.6.2</t>
  </si>
  <si>
    <t>What types of events are correlated?</t>
  </si>
  <si>
    <t>5.6.3</t>
  </si>
  <si>
    <t>How well are events correlated? Metrics?</t>
  </si>
  <si>
    <t>5.6.4</t>
  </si>
  <si>
    <t>Does the organization have cross device type correlation?</t>
  </si>
  <si>
    <t>5.6.5</t>
  </si>
  <si>
    <t>Does the organization have inter device type correlation?</t>
  </si>
  <si>
    <t>5.6.6</t>
  </si>
  <si>
    <t>Does the organization have aggregation?</t>
  </si>
  <si>
    <t>5.6.7</t>
  </si>
  <si>
    <t>Are all rules documented and explained?</t>
  </si>
  <si>
    <t>5.6.8</t>
  </si>
  <si>
    <t>Does the organization have automatic notification rules?</t>
  </si>
  <si>
    <t>5.6.9</t>
  </si>
  <si>
    <t>Does the organization have long-term subtle event rules?</t>
  </si>
  <si>
    <t>5.6.10</t>
  </si>
  <si>
    <t>SOC should generate an alarm condition for any custom use cases</t>
  </si>
  <si>
    <t>5.6.11</t>
  </si>
  <si>
    <t>SOC should generate an alarm condition for new vulnerability detected on critical/sensitive networks</t>
  </si>
  <si>
    <t>5.6.12</t>
  </si>
  <si>
    <t>SOC should generate an alarm condition for new port and service detected on critical/sensitive networks</t>
  </si>
  <si>
    <t>5.6.13</t>
  </si>
  <si>
    <t>SOC should correlate configuration changes against change management approved tickets</t>
  </si>
  <si>
    <t>5.6.14</t>
  </si>
  <si>
    <t>SOC should generate an alarm condition when a default/vendor account has been used</t>
  </si>
  <si>
    <t>5.6.15</t>
  </si>
  <si>
    <t>SOC should generate an alarm condition when an account has been shared</t>
  </si>
  <si>
    <t>5.6.16</t>
  </si>
  <si>
    <t>SOC should generate an alarm condition when an expired/disabled user account has been accessed</t>
  </si>
  <si>
    <t>5.6.17</t>
  </si>
  <si>
    <t>SOC should generate an alarm condition when a previous employees user account has been accessed</t>
  </si>
  <si>
    <t>5.6.18</t>
  </si>
  <si>
    <t>SOC should prioritize alarming based on value to the business</t>
  </si>
  <si>
    <t>5.6.19</t>
  </si>
  <si>
    <t>SOC should generate alarm in instances of unauthorized configuration changes</t>
  </si>
  <si>
    <t>5.6.20</t>
  </si>
  <si>
    <t>SOC should generate an alarm for anomolous or unauthorized access controls</t>
  </si>
  <si>
    <t>5.6.21</t>
  </si>
  <si>
    <t>SOC should generate an alarm for anomolous network flow</t>
  </si>
  <si>
    <t>5.6.22</t>
  </si>
  <si>
    <t>SOC should generate an alarm for unauthorized maintenance or mis-use of privilege</t>
  </si>
  <si>
    <t>5.6.23</t>
  </si>
  <si>
    <t>SOC should generate an alarm on deviation from segregation of duties</t>
  </si>
  <si>
    <t>5.6.24</t>
  </si>
  <si>
    <t>SOC should alarm on any failed log into the ESP</t>
  </si>
  <si>
    <t>5.6.25</t>
  </si>
  <si>
    <t>SOC should alarm on any login attempt to the ESP that is not authorized</t>
  </si>
  <si>
    <t>5.6.26</t>
  </si>
  <si>
    <t>5.6.27</t>
  </si>
  <si>
    <t>SOC should alarm if a physical door, gate or window is opened outside of normal activity</t>
  </si>
  <si>
    <t>5.6.28</t>
  </si>
  <si>
    <t>SOC should alarm under unsual network flow or worm type activitity</t>
  </si>
  <si>
    <t>5.6.29</t>
  </si>
  <si>
    <t>SOC should monitor unusual activity from AV and anti-malware devices</t>
  </si>
  <si>
    <t>5.6.30</t>
  </si>
  <si>
    <t>SOC should detect unauthorized use of indivudual or shared system accounts</t>
  </si>
  <si>
    <t>5.6.31</t>
  </si>
  <si>
    <t>SOC should detect if user accounts are created without approval from designated personnel</t>
  </si>
  <si>
    <t>5.6.32</t>
  </si>
  <si>
    <t>SOC should detect use of unauthorized ports and services required for operations</t>
  </si>
  <si>
    <t>5.6.33</t>
  </si>
  <si>
    <t>SOC should allow updates of authorized ports and services on an on demand basis</t>
  </si>
  <si>
    <t>5.6.34</t>
  </si>
  <si>
    <t>SOC should escalate Severity 1 within 30 minutes (L1 escalation)</t>
  </si>
  <si>
    <t>5.6.35</t>
  </si>
  <si>
    <t>SOC should escalate Severity 2 within 60 minutes (L2 escalation)</t>
  </si>
  <si>
    <t>5.6.36</t>
  </si>
  <si>
    <t>SOC should escalate Severity 3 within 180 minutes (L3 escalation)</t>
  </si>
  <si>
    <t>5.6.37</t>
  </si>
  <si>
    <t>SOC should update case management notes as required by the CSIRT</t>
  </si>
  <si>
    <t>5.6.38</t>
  </si>
  <si>
    <t>SOC should have a separate escalation routing meschanism for Cyber Security Incidents</t>
  </si>
  <si>
    <t>5.7 - Reports</t>
  </si>
  <si>
    <t>5.6.40</t>
  </si>
  <si>
    <t>SOC should provide Security Risk Metric Reports</t>
  </si>
  <si>
    <t>5.6.41</t>
  </si>
  <si>
    <t>SOC should provide Monitoring Performance Metric Reports</t>
  </si>
  <si>
    <t>5.6.42</t>
  </si>
  <si>
    <t>SOC should provide Security Trending Reports</t>
  </si>
  <si>
    <t>5.6.43</t>
  </si>
  <si>
    <t>SOC should review audit logs of top high priority IDS events on a weekly basis</t>
  </si>
  <si>
    <t>5.6.44</t>
  </si>
  <si>
    <t>SOC should review audit logs of failure activity on a weekly basis</t>
  </si>
  <si>
    <t>5.6.45</t>
  </si>
  <si>
    <t>SOC should review logs and alarm conditions as defined by the Alarm section in this document on a weekly basis</t>
  </si>
  <si>
    <t>5.6.46</t>
  </si>
  <si>
    <t>SOC should review all scheduled reports on a weekly basis prior to the Security Operational call</t>
  </si>
  <si>
    <t>5.6.47</t>
  </si>
  <si>
    <t>SOC should provide provide reports of failed access to critical assets</t>
  </si>
  <si>
    <t>5.6.48</t>
  </si>
  <si>
    <t>SOC should provide reports on Segregation of Duties violation</t>
  </si>
  <si>
    <t>5.6.49</t>
  </si>
  <si>
    <t>SOC should provide reports on role violation</t>
  </si>
  <si>
    <t>5.6.50</t>
  </si>
  <si>
    <t>SOC should provide metric reports on compliance effectiveness</t>
  </si>
  <si>
    <t>5.6.51</t>
  </si>
  <si>
    <t>SOC should provide reports on policy violation</t>
  </si>
  <si>
    <t>5.6.52</t>
  </si>
  <si>
    <t>SOC should provide reports as defined by Sample Company use cases</t>
  </si>
  <si>
    <t>5.6.53</t>
  </si>
  <si>
    <t>SOC should provide reports as defined by Sample Company stakeholders</t>
  </si>
  <si>
    <t>5.6.54</t>
  </si>
  <si>
    <t>SOC should provide reports that demonstrate SOC Analyst log review completeness</t>
  </si>
  <si>
    <t>5.6.55</t>
  </si>
  <si>
    <t>SOC should provide report on the percentage of security incidents that took place which did not cause a loss of confidentiality, integrity, or availability beyond SLAs for thresholds</t>
  </si>
  <si>
    <t>5.6.56</t>
  </si>
  <si>
    <t>Report on estimated damage or loss in dollars resulting from all security incidents</t>
  </si>
  <si>
    <t>5.6.57</t>
  </si>
  <si>
    <t>SOC should provide reports on Incident effectiveness metrics</t>
  </si>
  <si>
    <t>5.6.58</t>
  </si>
  <si>
    <t>SOC should provide reports on threat metric for critical assets</t>
  </si>
  <si>
    <t>5.6.59</t>
  </si>
  <si>
    <t>SOC should provide reports on open cases in last reporting period</t>
  </si>
  <si>
    <t>5.6.60</t>
  </si>
  <si>
    <t>SOC should provide reports on closed cases in last reporting period</t>
  </si>
  <si>
    <t>5.6.61</t>
  </si>
  <si>
    <t>SOC should provide reports on the correlation of Cyber Threats against Sample Company's environment</t>
  </si>
  <si>
    <t>5.6.62</t>
  </si>
  <si>
    <t>SOC should provide reports on threat metric by network zones</t>
  </si>
  <si>
    <t>5.6.63</t>
  </si>
  <si>
    <t>SOC should provide reports on threat metric by Line of Business</t>
  </si>
  <si>
    <t>5.6.64</t>
  </si>
  <si>
    <t>SOC should provide reports on threat metric by risk priority</t>
  </si>
  <si>
    <t>5.6.65</t>
  </si>
  <si>
    <t>SOC should provide reports on vulnerability trending by platform</t>
  </si>
  <si>
    <t>5.6.66</t>
  </si>
  <si>
    <t>SOC should provide reports on vulnerability trending by network zone</t>
  </si>
  <si>
    <t>5.6.67</t>
  </si>
  <si>
    <t>SOC should report and review user accounts to verify access privileges</t>
  </si>
  <si>
    <t>5.6.68</t>
  </si>
  <si>
    <t>SOC should provide reports of shared accounts</t>
  </si>
  <si>
    <t>5.6.69</t>
  </si>
  <si>
    <t>SOC should create cases (documentation) for log review on a weekly basis</t>
  </si>
  <si>
    <t>5.2 - Event Source Coverage</t>
  </si>
  <si>
    <t>Please enter the current devices/event sources that are incorporated into the SOC</t>
  </si>
  <si>
    <t>Device vendor</t>
  </si>
  <si>
    <t>Device Product</t>
  </si>
  <si>
    <t>Region</t>
  </si>
  <si>
    <t>Coverage %</t>
  </si>
  <si>
    <t>Business Critical Assets (Assests should be identified in the Asset Model within SIEM)</t>
  </si>
  <si>
    <t>Unclassified Assets</t>
  </si>
  <si>
    <t>5.3 - Overall Inventory</t>
  </si>
  <si>
    <t>Please enter numbers of the complete inventory at the organization. Typical this can be obtained from a CMDB, Asset Management etc.. It is recommended that this information should be gathered from non SOC sources (e.g. Operational Teams). Please refer to the worksheet "Sample Event Scope" for sample event sources.</t>
  </si>
  <si>
    <t>Business Critical Assets</t>
  </si>
  <si>
    <t>Phase 1</t>
  </si>
  <si>
    <t>Phase 2</t>
  </si>
  <si>
    <t>Phase</t>
  </si>
  <si>
    <t>Devices</t>
  </si>
  <si>
    <t>Identify Vendors if needed</t>
  </si>
  <si>
    <t>Versions (kernel if relative)</t>
  </si>
  <si>
    <t>Quantity</t>
  </si>
  <si>
    <t>Datacenter#1</t>
  </si>
  <si>
    <t>Datacenter#2</t>
  </si>
  <si>
    <t>Datacenter#3</t>
  </si>
  <si>
    <t>Phase 1 Scope</t>
  </si>
  <si>
    <t>Phase 1 Count</t>
  </si>
  <si>
    <t>Phase 2 Scope</t>
  </si>
  <si>
    <t>Phase 2 Count</t>
  </si>
  <si>
    <t>INF</t>
  </si>
  <si>
    <t>Windows Servers</t>
  </si>
  <si>
    <t>Unix Server</t>
  </si>
  <si>
    <t>HPUX</t>
  </si>
  <si>
    <t>11.11, 11.23</t>
  </si>
  <si>
    <t>Solaris</t>
  </si>
  <si>
    <t>7, 8, 9, 10</t>
  </si>
  <si>
    <t>AIX</t>
  </si>
  <si>
    <t>5.2, 6.1</t>
  </si>
  <si>
    <t>DNS Server (BIND)</t>
  </si>
  <si>
    <t>BIND</t>
  </si>
  <si>
    <t>Mail Filtering (IronMail)</t>
  </si>
  <si>
    <t>Load Balancers (Cisco)</t>
  </si>
  <si>
    <t>Load Balancers (F5)</t>
  </si>
  <si>
    <t>Linux Servers</t>
  </si>
  <si>
    <t>multiple (please review comments)</t>
  </si>
  <si>
    <t>VMWare Servers</t>
  </si>
  <si>
    <t>WAN Acceleration</t>
  </si>
  <si>
    <t>riverbed</t>
  </si>
  <si>
    <t>Network Routers (TBC)</t>
  </si>
  <si>
    <t xml:space="preserve">Cisco </t>
  </si>
  <si>
    <t>Network Switches (TBC)</t>
  </si>
  <si>
    <t>HP</t>
  </si>
  <si>
    <t>Nortel</t>
  </si>
  <si>
    <t>Network Firewalls</t>
  </si>
  <si>
    <t>Cisco ASA</t>
  </si>
  <si>
    <t>Network VPN Site-to-Site VPN</t>
  </si>
  <si>
    <t>Email Servers (Exchange/w Scanmail)</t>
  </si>
  <si>
    <t>Domain Users</t>
  </si>
  <si>
    <t>Database Servers (MS SQL)</t>
  </si>
  <si>
    <t>MS SQL</t>
  </si>
  <si>
    <t>Microsoft ISA 2004 and 2006</t>
  </si>
  <si>
    <t>ISA</t>
  </si>
  <si>
    <t xml:space="preserve"> Microsoft OCS Access Proxy</t>
  </si>
  <si>
    <t>OCS</t>
  </si>
  <si>
    <t>Web Servers (BEA Weblogic)</t>
  </si>
  <si>
    <t>BEA Weblogic</t>
  </si>
  <si>
    <t>Web Servers (Apache)</t>
  </si>
  <si>
    <t>Apache</t>
  </si>
  <si>
    <t>Web Servers (IIS)</t>
  </si>
  <si>
    <t>IIS</t>
  </si>
  <si>
    <t>McAfee</t>
  </si>
  <si>
    <t>Web Filter Blue Coat</t>
  </si>
  <si>
    <t xml:space="preserve">Web Filter </t>
  </si>
  <si>
    <t>8e6</t>
  </si>
  <si>
    <t>Cisco Pix</t>
  </si>
  <si>
    <t>Cisco FWSA</t>
  </si>
  <si>
    <t>AAA</t>
  </si>
  <si>
    <t>ACS 3.3</t>
  </si>
  <si>
    <t>ACS 5.2</t>
  </si>
  <si>
    <t>Network IPS</t>
  </si>
  <si>
    <t>HP TippingPoint</t>
  </si>
  <si>
    <t>2.5.4.6948</t>
  </si>
  <si>
    <t>Host IDS</t>
  </si>
  <si>
    <t>Windows Server (Industrial Defender HIDS)</t>
  </si>
  <si>
    <t>Linux Server (Industrial Defender HIDS )</t>
  </si>
  <si>
    <t>Domain Controllers (Active Directory)</t>
  </si>
  <si>
    <t>HP WebInspect Scanner</t>
  </si>
  <si>
    <t>WebInspect</t>
  </si>
  <si>
    <t>RSA ACE (Authentication Manager 6.1.2 on Windows 2003))</t>
  </si>
  <si>
    <t>ACE</t>
  </si>
  <si>
    <t>RSA ACE (Authentication Manager 7.1, Appliance 3.0)</t>
  </si>
  <si>
    <t>ACE 7.1</t>
  </si>
  <si>
    <t>SSL VPN - Juniper Netscreen SA-6500</t>
  </si>
  <si>
    <t>SSL VPN</t>
  </si>
  <si>
    <t>Client-VPN</t>
  </si>
  <si>
    <t>Vulnerability Scanners (n-circle)</t>
  </si>
  <si>
    <t>Wirless LAN Controller</t>
  </si>
  <si>
    <t>Cisco</t>
  </si>
  <si>
    <t>GBY Critical Unix Application Hosts</t>
  </si>
  <si>
    <t>W2K3</t>
  </si>
  <si>
    <t>GBY Critical Windows 2003 Application Hosts</t>
  </si>
  <si>
    <t>Unix</t>
  </si>
  <si>
    <t>ICT Critical Windows 2003 Application Hosts</t>
  </si>
  <si>
    <t>ICT Critical Unix Application Hosts</t>
  </si>
  <si>
    <t>Suggested SIEM Architecture Phase Organization</t>
  </si>
  <si>
    <r>
      <t>Phase 1:  Focus initially on perimeter, authentication and critical server logs:</t>
    </r>
    <r>
      <rPr>
        <sz val="8"/>
        <color theme="4" tint="-0.249977111117893"/>
        <rFont val="Verdana"/>
        <family val="2"/>
      </rPr>
      <t>Firewalls</t>
    </r>
  </si>
  <si>
    <r>
      <t>·</t>
    </r>
    <r>
      <rPr>
        <sz val="8"/>
        <color theme="4" tint="-0.249977111117893"/>
        <rFont val="Times New Roman"/>
        <family val="1"/>
      </rPr>
      <t xml:space="preserve">         </t>
    </r>
    <r>
      <rPr>
        <sz val="8"/>
        <color theme="4" tint="-0.249977111117893"/>
        <rFont val="Verdana"/>
        <family val="2"/>
      </rPr>
      <t>NIDS/NIPS</t>
    </r>
  </si>
  <si>
    <r>
      <t>·</t>
    </r>
    <r>
      <rPr>
        <sz val="8"/>
        <color theme="4" tint="-0.249977111117893"/>
        <rFont val="Times New Roman"/>
        <family val="1"/>
      </rPr>
      <t xml:space="preserve">         </t>
    </r>
    <r>
      <rPr>
        <sz val="8"/>
        <color theme="4" tint="-0.249977111117893"/>
        <rFont val="Verdana"/>
        <family val="2"/>
      </rPr>
      <t>HIDS/HIPS</t>
    </r>
  </si>
  <si>
    <r>
      <t>·</t>
    </r>
    <r>
      <rPr>
        <sz val="8"/>
        <color theme="4" tint="-0.249977111117893"/>
        <rFont val="Times New Roman"/>
        <family val="1"/>
      </rPr>
      <t xml:space="preserve">         </t>
    </r>
    <r>
      <rPr>
        <sz val="8"/>
        <color theme="4" tint="-0.249977111117893"/>
        <rFont val="Verdana"/>
        <family val="2"/>
      </rPr>
      <t>AAA server (e.g. TACACS+, Radius, SecurID etc)</t>
    </r>
  </si>
  <si>
    <r>
      <t>·</t>
    </r>
    <r>
      <rPr>
        <sz val="8"/>
        <color theme="4" tint="-0.249977111117893"/>
        <rFont val="Times New Roman"/>
        <family val="1"/>
      </rPr>
      <t xml:space="preserve">         </t>
    </r>
    <r>
      <rPr>
        <sz val="8"/>
        <color theme="4" tint="-0.249977111117893"/>
        <rFont val="Verdana"/>
        <family val="2"/>
      </rPr>
      <t>Domain Controllers</t>
    </r>
  </si>
  <si>
    <r>
      <t>·</t>
    </r>
    <r>
      <rPr>
        <sz val="8"/>
        <color theme="4" tint="-0.249977111117893"/>
        <rFont val="Times New Roman"/>
        <family val="1"/>
      </rPr>
      <t xml:space="preserve">         </t>
    </r>
    <r>
      <rPr>
        <sz val="8"/>
        <color theme="4" tint="-0.249977111117893"/>
        <rFont val="Verdana"/>
        <family val="2"/>
      </rPr>
      <t xml:space="preserve">Critical File and Print </t>
    </r>
  </si>
  <si>
    <r>
      <t>·</t>
    </r>
    <r>
      <rPr>
        <sz val="8"/>
        <color theme="4" tint="-0.249977111117893"/>
        <rFont val="Times New Roman"/>
        <family val="1"/>
      </rPr>
      <t xml:space="preserve">         </t>
    </r>
    <r>
      <rPr>
        <sz val="8"/>
        <color theme="4" tint="-0.249977111117893"/>
        <rFont val="Verdana"/>
        <family val="2"/>
      </rPr>
      <t>Critical Business/Infrastructure Servers (OS logs). This may include:</t>
    </r>
  </si>
  <si>
    <r>
      <t>o</t>
    </r>
    <r>
      <rPr>
        <sz val="8"/>
        <color theme="4" tint="-0.249977111117893"/>
        <rFont val="Times New Roman"/>
        <family val="1"/>
      </rPr>
      <t xml:space="preserve">    </t>
    </r>
    <r>
      <rPr>
        <sz val="8"/>
        <color theme="4" tint="-0.249977111117893"/>
        <rFont val="Verdana"/>
        <family val="2"/>
      </rPr>
      <t>Collaboration Servers (e.g. Exchange, Call Manager)</t>
    </r>
  </si>
  <si>
    <r>
      <t>o</t>
    </r>
    <r>
      <rPr>
        <sz val="8"/>
        <color theme="4" tint="-0.249977111117893"/>
        <rFont val="Times New Roman"/>
        <family val="1"/>
      </rPr>
      <t xml:space="preserve">    </t>
    </r>
    <r>
      <rPr>
        <sz val="8"/>
        <color theme="4" tint="-0.249977111117893"/>
        <rFont val="Verdana"/>
        <family val="2"/>
      </rPr>
      <t>DMZ servers</t>
    </r>
  </si>
  <si>
    <r>
      <t>o</t>
    </r>
    <r>
      <rPr>
        <sz val="8"/>
        <color theme="4" tint="-0.249977111117893"/>
        <rFont val="Times New Roman"/>
        <family val="1"/>
      </rPr>
      <t xml:space="preserve">    </t>
    </r>
    <r>
      <rPr>
        <sz val="8"/>
        <color theme="4" tint="-0.249977111117893"/>
        <rFont val="Verdana"/>
        <family val="2"/>
      </rPr>
      <t>Other critical business servers</t>
    </r>
  </si>
  <si>
    <r>
      <t>·</t>
    </r>
    <r>
      <rPr>
        <sz val="8"/>
        <color theme="4" tint="-0.249977111117893"/>
        <rFont val="Times New Roman"/>
        <family val="1"/>
      </rPr>
      <t xml:space="preserve">         </t>
    </r>
    <r>
      <rPr>
        <sz val="8"/>
        <color theme="4" tint="-0.249977111117893"/>
        <rFont val="Verdana"/>
        <family val="2"/>
      </rPr>
      <t>NetFlow at key ingress points (for detecting DoS)</t>
    </r>
  </si>
  <si>
    <r>
      <t>·</t>
    </r>
    <r>
      <rPr>
        <sz val="8"/>
        <color theme="4" tint="-0.249977111117893"/>
        <rFont val="Times New Roman"/>
        <family val="1"/>
      </rPr>
      <t xml:space="preserve">         </t>
    </r>
    <r>
      <rPr>
        <sz val="8"/>
        <color theme="4" tint="-0.249977111117893"/>
        <rFont val="Verdana"/>
        <family val="2"/>
      </rPr>
      <t xml:space="preserve">Perimeter Web Logs (Used to detect activity from cyber criminal networks)  </t>
    </r>
  </si>
  <si>
    <r>
      <t>·</t>
    </r>
    <r>
      <rPr>
        <sz val="8"/>
        <color theme="4" tint="-0.249977111117893"/>
        <rFont val="Times New Roman"/>
        <family val="1"/>
      </rPr>
      <t xml:space="preserve">         </t>
    </r>
    <r>
      <rPr>
        <sz val="8"/>
        <color theme="4" tint="-0.249977111117893"/>
        <rFont val="Verdana"/>
        <family val="2"/>
      </rPr>
      <t xml:space="preserve">Reverse SSL/Proxy Gateway </t>
    </r>
  </si>
  <si>
    <r>
      <t>·</t>
    </r>
    <r>
      <rPr>
        <sz val="8"/>
        <color theme="4" tint="-0.249977111117893"/>
        <rFont val="Times New Roman"/>
        <family val="1"/>
      </rPr>
      <t xml:space="preserve">         </t>
    </r>
    <r>
      <rPr>
        <sz val="8"/>
        <color theme="4" tint="-0.249977111117893"/>
        <rFont val="Verdana"/>
        <family val="2"/>
      </rPr>
      <t xml:space="preserve">SSL VPN and other Remote Access </t>
    </r>
  </si>
  <si>
    <r>
      <t>·</t>
    </r>
    <r>
      <rPr>
        <sz val="8"/>
        <color theme="4" tint="-0.249977111117893"/>
        <rFont val="Times New Roman"/>
        <family val="1"/>
      </rPr>
      <t xml:space="preserve">         </t>
    </r>
    <r>
      <rPr>
        <sz val="8"/>
        <color theme="4" tint="-0.249977111117893"/>
        <rFont val="Verdana"/>
        <family val="2"/>
      </rPr>
      <t>As-sync Terminal Servers (used to manage network and UNIX devices)</t>
    </r>
  </si>
  <si>
    <r>
      <t>·</t>
    </r>
    <r>
      <rPr>
        <sz val="8"/>
        <color theme="4" tint="-0.249977111117893"/>
        <rFont val="Times New Roman"/>
        <family val="1"/>
      </rPr>
      <t xml:space="preserve">         </t>
    </r>
    <r>
      <rPr>
        <sz val="8"/>
        <color theme="4" tint="-0.249977111117893"/>
        <rFont val="Verdana"/>
        <family val="2"/>
      </rPr>
      <t>Wireless LAN Controller</t>
    </r>
  </si>
  <si>
    <r>
      <t>·</t>
    </r>
    <r>
      <rPr>
        <sz val="8"/>
        <color theme="4" tint="-0.249977111117893"/>
        <rFont val="Times New Roman"/>
        <family val="1"/>
      </rPr>
      <t xml:space="preserve">         </t>
    </r>
    <r>
      <rPr>
        <sz val="8"/>
        <color theme="4" tint="-0.249977111117893"/>
        <rFont val="Verdana"/>
        <family val="2"/>
      </rPr>
      <t>Radius used by Wireless</t>
    </r>
  </si>
  <si>
    <r>
      <t>·</t>
    </r>
    <r>
      <rPr>
        <sz val="8"/>
        <color theme="4" tint="-0.249977111117893"/>
        <rFont val="Times New Roman"/>
        <family val="1"/>
      </rPr>
      <t xml:space="preserve">         </t>
    </r>
    <r>
      <rPr>
        <sz val="8"/>
        <color theme="4" tint="-0.249977111117893"/>
        <rFont val="Verdana"/>
        <family val="2"/>
      </rPr>
      <t>Vulnerability Scanners</t>
    </r>
  </si>
  <si>
    <r>
      <t>·</t>
    </r>
    <r>
      <rPr>
        <sz val="8"/>
        <color theme="4" tint="-0.249977111117893"/>
        <rFont val="Times New Roman"/>
        <family val="1"/>
      </rPr>
      <t xml:space="preserve">         </t>
    </r>
    <r>
      <rPr>
        <sz val="8"/>
        <color theme="4" tint="-0.249977111117893"/>
        <rFont val="Verdana"/>
        <family val="2"/>
      </rPr>
      <t> </t>
    </r>
  </si>
  <si>
    <t>Phase II: Other KBS infrastructure (Risk based):</t>
  </si>
  <si>
    <r>
      <t>·</t>
    </r>
    <r>
      <rPr>
        <sz val="8"/>
        <color theme="4" tint="-0.249977111117893"/>
        <rFont val="Times New Roman"/>
        <family val="1"/>
      </rPr>
      <t xml:space="preserve">         </t>
    </r>
    <r>
      <rPr>
        <sz val="8"/>
        <color theme="4" tint="-0.249977111117893"/>
        <rFont val="Verdana"/>
        <family val="2"/>
      </rPr>
      <t xml:space="preserve">File and Print </t>
    </r>
  </si>
  <si>
    <r>
      <t>·</t>
    </r>
    <r>
      <rPr>
        <sz val="8"/>
        <color theme="4" tint="-0.249977111117893"/>
        <rFont val="Times New Roman"/>
        <family val="1"/>
      </rPr>
      <t xml:space="preserve">         </t>
    </r>
    <r>
      <rPr>
        <sz val="8"/>
        <color theme="4" tint="-0.249977111117893"/>
        <rFont val="Verdana"/>
        <family val="2"/>
      </rPr>
      <t>Desktop AV systems</t>
    </r>
  </si>
  <si>
    <r>
      <t>·</t>
    </r>
    <r>
      <rPr>
        <sz val="8"/>
        <color theme="4" tint="-0.249977111117893"/>
        <rFont val="Times New Roman"/>
        <family val="1"/>
      </rPr>
      <t xml:space="preserve">         </t>
    </r>
    <r>
      <rPr>
        <sz val="8"/>
        <color theme="4" tint="-0.249977111117893"/>
        <rFont val="Verdana"/>
        <family val="2"/>
      </rPr>
      <t>Internet Services AV systems (SMTP, HTTP, FTP etc)</t>
    </r>
  </si>
  <si>
    <r>
      <t>·</t>
    </r>
    <r>
      <rPr>
        <sz val="8"/>
        <color theme="4" tint="-0.249977111117893"/>
        <rFont val="Times New Roman"/>
        <family val="1"/>
      </rPr>
      <t xml:space="preserve">         </t>
    </r>
    <r>
      <rPr>
        <sz val="8"/>
        <color theme="4" tint="-0.249977111117893"/>
        <rFont val="Verdana"/>
        <family val="2"/>
      </rPr>
      <t>IPSEC VPN (Site to site)</t>
    </r>
  </si>
  <si>
    <r>
      <t>·</t>
    </r>
    <r>
      <rPr>
        <sz val="8"/>
        <color theme="4" tint="-0.249977111117893"/>
        <rFont val="Times New Roman"/>
        <family val="1"/>
      </rPr>
      <t xml:space="preserve">         </t>
    </r>
    <r>
      <rPr>
        <sz val="8"/>
        <color theme="4" tint="-0.249977111117893"/>
        <rFont val="Verdana"/>
        <family val="2"/>
      </rPr>
      <t>DHCP</t>
    </r>
  </si>
  <si>
    <r>
      <t>·</t>
    </r>
    <r>
      <rPr>
        <sz val="8"/>
        <color theme="4" tint="-0.249977111117893"/>
        <rFont val="Times New Roman"/>
        <family val="1"/>
      </rPr>
      <t xml:space="preserve">         </t>
    </r>
    <r>
      <rPr>
        <sz val="8"/>
        <color theme="4" tint="-0.249977111117893"/>
        <rFont val="Verdana"/>
        <family val="2"/>
      </rPr>
      <t>DNS</t>
    </r>
  </si>
  <si>
    <r>
      <t>·</t>
    </r>
    <r>
      <rPr>
        <sz val="8"/>
        <color theme="4" tint="-0.249977111117893"/>
        <rFont val="Times New Roman"/>
        <family val="1"/>
      </rPr>
      <t xml:space="preserve">         </t>
    </r>
    <r>
      <rPr>
        <sz val="8"/>
        <color theme="4" tint="-0.249977111117893"/>
        <rFont val="Verdana"/>
        <family val="2"/>
      </rPr>
      <t>KVM over IP devices (e.g. Advocent)</t>
    </r>
  </si>
  <si>
    <r>
      <t>·</t>
    </r>
    <r>
      <rPr>
        <sz val="8"/>
        <color theme="4" tint="-0.249977111117893"/>
        <rFont val="Times New Roman"/>
        <family val="1"/>
      </rPr>
      <t xml:space="preserve">         </t>
    </r>
    <r>
      <rPr>
        <sz val="8"/>
        <color theme="4" tint="-0.249977111117893"/>
        <rFont val="Verdana"/>
        <family val="2"/>
      </rPr>
      <t>VMWare Vcenter and ESXi (used to pick up management of VM’s)</t>
    </r>
  </si>
  <si>
    <r>
      <t>·</t>
    </r>
    <r>
      <rPr>
        <sz val="8"/>
        <color theme="4" tint="-0.249977111117893"/>
        <rFont val="Times New Roman"/>
        <family val="1"/>
      </rPr>
      <t xml:space="preserve">         </t>
    </r>
    <r>
      <rPr>
        <sz val="8"/>
        <color theme="4" tint="-0.249977111117893"/>
        <rFont val="Verdana"/>
        <family val="2"/>
      </rPr>
      <t>Database servers</t>
    </r>
  </si>
  <si>
    <r>
      <t>·</t>
    </r>
    <r>
      <rPr>
        <sz val="8"/>
        <color theme="4" tint="-0.249977111117893"/>
        <rFont val="Times New Roman"/>
        <family val="1"/>
      </rPr>
      <t xml:space="preserve">         </t>
    </r>
    <r>
      <rPr>
        <sz val="8"/>
        <color theme="4" tint="-0.249977111117893"/>
        <rFont val="Verdana"/>
        <family val="2"/>
      </rPr>
      <t>Web Scanner</t>
    </r>
  </si>
  <si>
    <r>
      <t>·</t>
    </r>
    <r>
      <rPr>
        <sz val="8"/>
        <color theme="4" tint="-0.249977111117893"/>
        <rFont val="Times New Roman"/>
        <family val="1"/>
      </rPr>
      <t xml:space="preserve">         </t>
    </r>
    <r>
      <rPr>
        <sz val="8"/>
        <color theme="4" tint="-0.249977111117893"/>
        <rFont val="Verdana"/>
        <family val="2"/>
      </rPr>
      <t>Web Farm</t>
    </r>
  </si>
  <si>
    <r>
      <t>Optional Phase I or II/ For Discussion</t>
    </r>
    <r>
      <rPr>
        <sz val="8"/>
        <color theme="4" tint="-0.249977111117893"/>
        <rFont val="Verdana"/>
        <family val="2"/>
      </rPr>
      <t xml:space="preserve"> - Exchange, Iron Mail, Scan Mail and Office Scan traffic.  Rational - Email generates a lot of logs and limited security value.  Most security events (eg smtp buffer overflow used by spammers) can be detected by nids or ntspam mail Ids </t>
    </r>
  </si>
  <si>
    <t>Phase III:  Focus on critical business applications:</t>
  </si>
  <si>
    <r>
      <t>·</t>
    </r>
    <r>
      <rPr>
        <sz val="8"/>
        <color theme="4" tint="-0.249977111117893"/>
        <rFont val="Times New Roman"/>
        <family val="1"/>
      </rPr>
      <t xml:space="preserve">         </t>
    </r>
    <r>
      <rPr>
        <sz val="8"/>
        <color theme="4" tint="-0.249977111117893"/>
        <rFont val="Verdana"/>
        <family val="2"/>
      </rPr>
      <t>Critical business applications (110 identified for DR) Servers</t>
    </r>
  </si>
  <si>
    <r>
      <t>·</t>
    </r>
    <r>
      <rPr>
        <sz val="8"/>
        <color theme="4" tint="-0.249977111117893"/>
        <rFont val="Times New Roman"/>
        <family val="1"/>
      </rPr>
      <t xml:space="preserve">         </t>
    </r>
    <r>
      <rPr>
        <sz val="8"/>
        <color theme="4" tint="-0.249977111117893"/>
        <rFont val="Verdana"/>
        <family val="2"/>
      </rPr>
      <t>Badge readers</t>
    </r>
  </si>
  <si>
    <r>
      <t>·</t>
    </r>
    <r>
      <rPr>
        <sz val="8"/>
        <color theme="4" tint="-0.249977111117893"/>
        <rFont val="Times New Roman"/>
        <family val="1"/>
      </rPr>
      <t xml:space="preserve">         </t>
    </r>
    <r>
      <rPr>
        <sz val="8"/>
        <color theme="4" tint="-0.249977111117893"/>
        <rFont val="Verdana"/>
        <family val="2"/>
      </rPr>
      <t>PCN/SCADA devices</t>
    </r>
  </si>
  <si>
    <t>4 - Technology  Control Objectives</t>
  </si>
  <si>
    <t>4.1 - Security Information and Event Management</t>
  </si>
  <si>
    <t>4.1.1</t>
  </si>
  <si>
    <t>Does a production SIEM capability exist?</t>
  </si>
  <si>
    <t>4.1.2</t>
  </si>
  <si>
    <t>Does the SIEM address SOC availability requirements?</t>
  </si>
  <si>
    <t>4.1.3</t>
  </si>
  <si>
    <t>Does a dev and sandbox environment for SIEM exist?</t>
  </si>
  <si>
    <t>4.1.4</t>
  </si>
  <si>
    <t>How do you monitor infrastructure performance? (availability, throughout, latency, average &gt; peak &gt; surge)</t>
  </si>
  <si>
    <t>4.1.5</t>
  </si>
  <si>
    <t>Do you monitor any of the product vendor monitoring consoles to supplement your SIEM?</t>
  </si>
  <si>
    <t>4.1.6</t>
  </si>
  <si>
    <t>Does the organization have a support contract with your vendor?</t>
  </si>
  <si>
    <t>4.1.7</t>
  </si>
  <si>
    <t>Does the organization have remote access to the SIEM? VPN, web console, etc…</t>
  </si>
  <si>
    <t>4.1.8</t>
  </si>
  <si>
    <t>Is your SIEM in a hardened data center?</t>
  </si>
  <si>
    <t>4.1.9</t>
  </si>
  <si>
    <t>Is SIEM RBAC configured based on role and function for SOC analysts?</t>
  </si>
  <si>
    <t>4.1.10</t>
  </si>
  <si>
    <t>Is RBAC reviewed and approved by the SOC management on an annual basis, at a minimum?</t>
  </si>
  <si>
    <t>4.1.11</t>
  </si>
  <si>
    <t>Does the organization have a documented upgrade procedure?</t>
  </si>
  <si>
    <t>4.1.12</t>
  </si>
  <si>
    <t>Are all internal data streams encrypted? (Network connections)</t>
  </si>
  <si>
    <t>4.1.13</t>
  </si>
  <si>
    <t>Are all external data streams encrypted?</t>
  </si>
  <si>
    <t>4.1.14</t>
  </si>
  <si>
    <t>Are there multiple analyst consoles in the SOC? How many?</t>
  </si>
  <si>
    <t>4.1.15</t>
  </si>
  <si>
    <t>Does the organization have capacity and performance monitoring?</t>
  </si>
  <si>
    <t>4.1.16</t>
  </si>
  <si>
    <t>Does the organization have availability monitoring?</t>
  </si>
  <si>
    <t>4.1.17</t>
  </si>
  <si>
    <t>What permissions do SOC analysts have on their workstations?</t>
  </si>
  <si>
    <t>4.1.18</t>
  </si>
  <si>
    <t>Is the SIEM integrated into a case management system?</t>
  </si>
  <si>
    <t>4.1.19</t>
  </si>
  <si>
    <t>Has the case management system been updated with SOC specific fields</t>
  </si>
  <si>
    <t>4.1.20</t>
  </si>
  <si>
    <t>Are the SIEM assets/services classified as critical and listed accordingly?</t>
  </si>
  <si>
    <t>4.1.21</t>
  </si>
  <si>
    <t>Is there a support model in place for SIEM users?</t>
  </si>
  <si>
    <t>4.1.22</t>
  </si>
  <si>
    <t>Is there a defined role and process for SIEM account/access management?</t>
  </si>
  <si>
    <t>4.2 - Intelligence Correlation</t>
  </si>
  <si>
    <t>4.2.1</t>
  </si>
  <si>
    <t>Does the organization integrate and correlate against emerging threat intelligence?</t>
  </si>
  <si>
    <t>4.2.2</t>
  </si>
  <si>
    <t>Does the organization integrate and correlate against exploit intelligence?</t>
  </si>
  <si>
    <t>4.2.3</t>
  </si>
  <si>
    <t>Does the organization integrate and correlate against domain reputation?</t>
  </si>
  <si>
    <t>4.2.4</t>
  </si>
  <si>
    <t>Does the organization integrate brand intelligence?</t>
  </si>
  <si>
    <t>4.2.5</t>
  </si>
  <si>
    <t>Does the organization integrate and correlate against Malware Drone IP intelligence?</t>
  </si>
  <si>
    <t>4.2.6</t>
  </si>
  <si>
    <t>Does the organization integrate and correlate against MX intelligence?</t>
  </si>
  <si>
    <t>4.2.7</t>
  </si>
  <si>
    <t>Does the organization integrate and correlate against Tor Exit Node intelligence?</t>
  </si>
  <si>
    <t>4.2.8</t>
  </si>
  <si>
    <t>Does the organization integrate and correlate against vulnerability context intelligence?</t>
  </si>
  <si>
    <t>4.2.9</t>
  </si>
  <si>
    <t>Does the organization integrate and correlate against malware binary intelligence?</t>
  </si>
  <si>
    <t>4.3 - Architecture</t>
  </si>
  <si>
    <t>4.3.1</t>
  </si>
  <si>
    <t>Is the SOC environment in an access control environment?</t>
  </si>
  <si>
    <t>4.3.2</t>
  </si>
  <si>
    <t>Does IDS exist at the ingress of the Corporate network into the SOC?</t>
  </si>
  <si>
    <t>4.3.3</t>
  </si>
  <si>
    <t>Does the SOC have an out of band Internet connection (e.g. cable or ADSL)?</t>
  </si>
  <si>
    <t>4.3.4</t>
  </si>
  <si>
    <t>Does the SOC have dedicated situational awareness screens?</t>
  </si>
  <si>
    <t>4.3.5</t>
  </si>
  <si>
    <t>Are these situational awareness screens visible from all SOC Level 1 analyst workstations?</t>
  </si>
  <si>
    <t>4.3.6</t>
  </si>
  <si>
    <t>Are measures put in place that the main situational awareness screen cannot be tampered with?</t>
  </si>
  <si>
    <t>4.3.7</t>
  </si>
  <si>
    <t>Does the organization have detailed and current architecture diagrams?</t>
  </si>
  <si>
    <t>4.3.8</t>
  </si>
  <si>
    <t>Describe security measures for architecture: SIM/SEM, collection servers and endpoints.</t>
  </si>
  <si>
    <t>4.3.9</t>
  </si>
  <si>
    <t>How do you provide high availability? Facilities (network, power, system redundancy).</t>
  </si>
  <si>
    <t>4.3.10</t>
  </si>
  <si>
    <t>How is Information Security implemented for the entire architecture?</t>
  </si>
  <si>
    <t>4.3.11</t>
  </si>
  <si>
    <t>Are architecure changes strictly controlled by change management? Configuration management</t>
  </si>
  <si>
    <t>4.3.12</t>
  </si>
  <si>
    <t>Does the organization have a documented list of all end point security devices that report to the SIEM?</t>
  </si>
  <si>
    <t>4.3.13</t>
  </si>
  <si>
    <t>Does the organization have a documented content architecture? Filters, channel, rules, queries, reports, etc…</t>
  </si>
  <si>
    <t>4.3.14</t>
  </si>
  <si>
    <t xml:space="preserve">Does the organization have documented event flow architecture? </t>
  </si>
  <si>
    <t>4.3.15</t>
  </si>
  <si>
    <t xml:space="preserve">Does the organization have a process and procedure architecture? </t>
  </si>
  <si>
    <t>4.3.16</t>
  </si>
  <si>
    <t>Does the floor plan have a clean room for evidence retention?</t>
  </si>
  <si>
    <t>4.3.17</t>
  </si>
  <si>
    <t>Does the SOC have strong physical authentication measures?</t>
  </si>
  <si>
    <t>4.3.18</t>
  </si>
  <si>
    <t>Do the walls of the SOC firewalls?</t>
  </si>
  <si>
    <t>4.3.19</t>
  </si>
  <si>
    <t>Do the SOC have (physical) windows and if so are controls in place to prevent from data surveillance from external sources?</t>
  </si>
  <si>
    <t>4.3.20</t>
  </si>
  <si>
    <t>Does the SOC have a colloboration tool?</t>
  </si>
  <si>
    <t>4.3.21</t>
  </si>
  <si>
    <t>Does the SOC have a documentation repository?</t>
  </si>
  <si>
    <t>4.3.22</t>
  </si>
  <si>
    <t>Does the SOC have a DSL?</t>
  </si>
  <si>
    <t>4.3.23</t>
  </si>
  <si>
    <t>Corporate logging standards are adhered to across all the Business Units (BU's).</t>
  </si>
  <si>
    <t>4.3.24</t>
  </si>
  <si>
    <t>There exist specific standards on logging and/or instrumentation for the IT infrastructure (including servers, databases, mainframes, mini, PC, SAN/NAS,.etc)</t>
  </si>
  <si>
    <t>4.3.25</t>
  </si>
  <si>
    <t>There exist specific standards on logging and/or instrumentation for your Network infrastructure.</t>
  </si>
  <si>
    <t>4.3.26</t>
  </si>
  <si>
    <t xml:space="preserve">There are documented corporate-level logging requirements or standards in place today which includes but not limited to location, retention, content, format. </t>
  </si>
  <si>
    <t>4.4 - Correlation</t>
  </si>
  <si>
    <t>4.4.1</t>
  </si>
  <si>
    <t>4.4.2</t>
  </si>
  <si>
    <t>4.4.3</t>
  </si>
  <si>
    <t>4.4.4</t>
  </si>
  <si>
    <t>4.4.5</t>
  </si>
  <si>
    <t>4.4.6</t>
  </si>
  <si>
    <t>4.4.7</t>
  </si>
  <si>
    <t>4.4.8</t>
  </si>
  <si>
    <t>4.4.9</t>
  </si>
  <si>
    <t>4.4.10</t>
  </si>
  <si>
    <t>4.4.11</t>
  </si>
  <si>
    <t>4.4.12</t>
  </si>
  <si>
    <t>4.4.13</t>
  </si>
  <si>
    <t>4.4.14</t>
  </si>
  <si>
    <t>4.4.15</t>
  </si>
  <si>
    <t>4.4.16</t>
  </si>
  <si>
    <t>4.4.17</t>
  </si>
  <si>
    <t>4.4.18</t>
  </si>
  <si>
    <t>4.4.19</t>
  </si>
  <si>
    <t>4.4.20</t>
  </si>
  <si>
    <t>4.4.21</t>
  </si>
  <si>
    <t>4.4.22</t>
  </si>
  <si>
    <t>4.4.23</t>
  </si>
  <si>
    <t>4.4.24</t>
  </si>
  <si>
    <t>4.4.25</t>
  </si>
  <si>
    <t>4.4.26</t>
  </si>
  <si>
    <t>4.4.27</t>
  </si>
  <si>
    <t>4.4.28</t>
  </si>
  <si>
    <t>4.4.29</t>
  </si>
  <si>
    <t>4.4.30</t>
  </si>
  <si>
    <t>4.4.31</t>
  </si>
  <si>
    <t>4.4.32</t>
  </si>
  <si>
    <t>4.4.33</t>
  </si>
  <si>
    <t>4.4.34</t>
  </si>
  <si>
    <t>4.4.35</t>
  </si>
  <si>
    <t>4.4.36</t>
  </si>
  <si>
    <t>4.4.37</t>
  </si>
  <si>
    <t>4.4.38</t>
  </si>
  <si>
    <t>4.4.39</t>
  </si>
  <si>
    <t>What other types of events are monitored? (i.e. compliance, fraud, legal, HR, etc.)</t>
  </si>
  <si>
    <t>4.5 - Reporting</t>
  </si>
  <si>
    <t>4.5.1</t>
  </si>
  <si>
    <t>4.5.2</t>
  </si>
  <si>
    <t>4.5.3</t>
  </si>
  <si>
    <t>4.5.4</t>
  </si>
  <si>
    <t>4.5.5</t>
  </si>
  <si>
    <t>4.5.6</t>
  </si>
  <si>
    <t>4.5.7</t>
  </si>
  <si>
    <t>4.5.8</t>
  </si>
  <si>
    <t>4.5.9</t>
  </si>
  <si>
    <t>4.5.10</t>
  </si>
  <si>
    <t>4.5.11</t>
  </si>
  <si>
    <t>4.5.12</t>
  </si>
  <si>
    <t>4.5.13</t>
  </si>
  <si>
    <t>4.5.14</t>
  </si>
  <si>
    <t>SOC should provide reports as defined by Sample Company stakeholders (BIT, OGCC etc)</t>
  </si>
  <si>
    <t>4.5.15</t>
  </si>
  <si>
    <t>4.5.16</t>
  </si>
  <si>
    <t>4.5.17</t>
  </si>
  <si>
    <t>4.5.18</t>
  </si>
  <si>
    <t>4.5.19</t>
  </si>
  <si>
    <t>4.5.20</t>
  </si>
  <si>
    <t>4.5.21</t>
  </si>
  <si>
    <t>4.5.22</t>
  </si>
  <si>
    <t>4.5.23</t>
  </si>
  <si>
    <t>4.5.24</t>
  </si>
  <si>
    <t>4.5.25</t>
  </si>
  <si>
    <t>4.5.26</t>
  </si>
  <si>
    <t>4.5.27</t>
  </si>
  <si>
    <t>4.5.28</t>
  </si>
  <si>
    <t>4.5.29</t>
  </si>
  <si>
    <t>4.5.30</t>
  </si>
  <si>
    <t>4.6 - SOC Engineering</t>
  </si>
  <si>
    <t>4.6.1</t>
  </si>
  <si>
    <t>All SOC systems should be synchcronized with an approved time source</t>
  </si>
  <si>
    <t>4.6.2</t>
  </si>
  <si>
    <t>All audit logs should be kept for a minimuim of 90 calendar days online</t>
  </si>
  <si>
    <t>4.6.3</t>
  </si>
  <si>
    <t>All audit logs should be kept for a minimum of 33 calendar months offline</t>
  </si>
  <si>
    <t>4.6.4</t>
  </si>
  <si>
    <t>All backup media should be encrypted</t>
  </si>
  <si>
    <t>4.6.5</t>
  </si>
  <si>
    <t>All backup media should be kept at an offsite secure storage facility</t>
  </si>
  <si>
    <t>4.6.6</t>
  </si>
  <si>
    <t>SOC processes and automation should exist to detect and monitor failure of audit, monitoring and alarming capabilities</t>
  </si>
  <si>
    <t>4.6.7</t>
  </si>
  <si>
    <t>SOC personnel should be provided least privilege access</t>
  </si>
  <si>
    <t>4.6.8</t>
  </si>
  <si>
    <t>All priviledge accounts to SOC critical components should be secured and used on a "need to know" basis</t>
  </si>
  <si>
    <t>4.6.9</t>
  </si>
  <si>
    <t>Where possible the SOC should use password vaulting or two factor method for priviledge access or fire id</t>
  </si>
  <si>
    <t>4.6.10</t>
  </si>
  <si>
    <t>SOC should document and seek approval on a release management policy for SOC systems</t>
  </si>
  <si>
    <t>4.6.11</t>
  </si>
  <si>
    <t>All major releases to SOC systems should be approved by the SOC Steering Committee</t>
  </si>
  <si>
    <t>4.6.12</t>
  </si>
  <si>
    <t>All minor releases to SOC systems should be approved by the SOC Manager</t>
  </si>
  <si>
    <t>4.6.13</t>
  </si>
  <si>
    <t>SOC should maintain guidelines for managing release configurations and changes</t>
  </si>
  <si>
    <t>4.6.14</t>
  </si>
  <si>
    <t>4.6.15</t>
  </si>
  <si>
    <t>Any custom developed code (e.g. FlexConnectors) have to follow Sample Company's System Development Lifecycle</t>
  </si>
  <si>
    <t>4.6.16</t>
  </si>
  <si>
    <t>SOC processes and automation should exist to detect and monitor database storage depletion (less than 20 % remaining)</t>
  </si>
  <si>
    <t>4.6.17</t>
  </si>
  <si>
    <t>All SOC custom software releases should follow a consistent SDLC version scheme</t>
  </si>
  <si>
    <t>4.6.18</t>
  </si>
  <si>
    <t>All CI's within a SOC release should be traceable and secured to ensure that the correct approved version are implemented in production</t>
  </si>
  <si>
    <t>4.6.19</t>
  </si>
  <si>
    <t>All master copies of SOC critical system software should be maintained on a protected "Definitive Software Library"</t>
  </si>
  <si>
    <t>4.6.20</t>
  </si>
  <si>
    <t>SOC major release implementation should include a backout plan</t>
  </si>
  <si>
    <t>4.6.21</t>
  </si>
  <si>
    <t>SOC should maintain hardware spares (or a priority hardware replacement agreement) for critical monitoring components</t>
  </si>
  <si>
    <t>4.6.22</t>
  </si>
  <si>
    <t>SOC releases should be tested and approved before deployment</t>
  </si>
  <si>
    <t>4.6.23</t>
  </si>
  <si>
    <t>All SOC Releases should include appropriate operating and support documentation</t>
  </si>
  <si>
    <t>4.6.24</t>
  </si>
  <si>
    <t>All SOC critical system software should be downloaded from approved vendor repositories</t>
  </si>
  <si>
    <t>4.6.25</t>
  </si>
  <si>
    <t>4.6.26</t>
  </si>
  <si>
    <t>All major releases should be tested in a controlled test environment before implementation into production</t>
  </si>
  <si>
    <t>4.6.27</t>
  </si>
  <si>
    <t>All major releases should undergo regression testing</t>
  </si>
  <si>
    <t>4.6.28</t>
  </si>
  <si>
    <t>All system changes should be approved by the designated SOC Manager in consultation with the CSIRT team</t>
  </si>
  <si>
    <t>4.6.29</t>
  </si>
  <si>
    <t>All system changes should be performed by the approved SOC Engineer</t>
  </si>
  <si>
    <t>4.6.30</t>
  </si>
  <si>
    <t>SOC should have a documented configuration management plan</t>
  </si>
  <si>
    <t>4.6.31</t>
  </si>
  <si>
    <t>SOC should have procedures to address license management, archiving and retention period for Cis</t>
  </si>
  <si>
    <t>4.6.32</t>
  </si>
  <si>
    <t>SOC should keep configuration baselines in a secure location/repository</t>
  </si>
  <si>
    <t>4.6.33</t>
  </si>
  <si>
    <t>SOC should maintain audit logs of configuration changes of SOC systems</t>
  </si>
  <si>
    <t>4.6.34</t>
  </si>
  <si>
    <t>SOC should review Configuration Management processes on an annual basis</t>
  </si>
  <si>
    <t>4.6.35</t>
  </si>
  <si>
    <t>SOC should maintain a configuration management database</t>
  </si>
  <si>
    <t>4.6.36</t>
  </si>
  <si>
    <t>SOC should include avaliability and component failure monitoring capability for critical audit controls</t>
  </si>
  <si>
    <t>4.6.37</t>
  </si>
  <si>
    <t>SOC continuity plan should include an availability plan that meets the agreed SLA</t>
  </si>
  <si>
    <t>4.6.38</t>
  </si>
  <si>
    <t>SOC procedures should include monitoring, analyzing and forecasting of service availability</t>
  </si>
  <si>
    <t>4.6.39</t>
  </si>
  <si>
    <t>4.6.40</t>
  </si>
  <si>
    <t>4.6.41</t>
  </si>
  <si>
    <t>Any failure that compromises the SOC's ability to perform its core function (Security Monitoring) should be reported to the SOC stakeholder group</t>
  </si>
  <si>
    <t>4.6.42</t>
  </si>
  <si>
    <t>SOC should undergo scheduled dry run of (Sample Company defined) top ten use cases, for detection and escalation</t>
  </si>
  <si>
    <t>4.6.43</t>
  </si>
  <si>
    <t>SOC should undergo adhoc annual excercises of top ten use cases, for detection and escalation</t>
  </si>
  <si>
    <t>4.6.44</t>
  </si>
  <si>
    <t>SOC should undergo scheduled dry run of (Sample Company defined) top ten use cases, for validation of Incident Management procedures</t>
  </si>
  <si>
    <t>4.6.45</t>
  </si>
  <si>
    <t>SOC should provide a six month capacity planning forecast</t>
  </si>
  <si>
    <t>4.6.46</t>
  </si>
  <si>
    <t>SOC should have a capacity scaling plan</t>
  </si>
  <si>
    <t>4.6.47</t>
  </si>
  <si>
    <t>SOC should have tools to monitor existing capacity of critical tools</t>
  </si>
  <si>
    <t>4.6.48</t>
  </si>
  <si>
    <t>SOC should assess any significant event source integration for capacity of existing systems</t>
  </si>
  <si>
    <t>4.7 - SOC Information Lifecycle Management</t>
  </si>
  <si>
    <t>4.7.1</t>
  </si>
  <si>
    <t>Are regulatory requirements considered as part of the retention requirements?</t>
  </si>
  <si>
    <t>4.7.2</t>
  </si>
  <si>
    <t>Does storage retention comply with regulatory requirements?</t>
  </si>
  <si>
    <t>4.7.3</t>
  </si>
  <si>
    <t>Are cases that extend beyond the retention period archived or handled as part of an established process?</t>
  </si>
  <si>
    <t>4.7.4</t>
  </si>
  <si>
    <t>Are event archives secured from tampering?</t>
  </si>
  <si>
    <t>4.7.5</t>
  </si>
  <si>
    <t>Are backup media secured from tampering?</t>
  </si>
  <si>
    <t>4.7.6</t>
  </si>
  <si>
    <t>Is there a process to age and decomission media that extend past the established retention period?</t>
  </si>
  <si>
    <t>4.8 - Collection</t>
  </si>
  <si>
    <t>4.8.1</t>
  </si>
  <si>
    <t>Does the SOC have minimum audit configuration (e.g. how should OS' audit systems be configured) by platform?</t>
  </si>
  <si>
    <t>4.8.2</t>
  </si>
  <si>
    <t>Has the audit configuration been mapped to the organization's compliance, legislation and jurisdictional obligations?</t>
  </si>
  <si>
    <t>4.8.3</t>
  </si>
  <si>
    <t>Are there audit configuration profiles based on risk (e.g. servers in the DMZ as opposed to internal)?</t>
  </si>
  <si>
    <t>4.8.4</t>
  </si>
  <si>
    <t>Does the SOC have measures to detect if the audit configuration has been tampered?</t>
  </si>
  <si>
    <t>4.8.5</t>
  </si>
  <si>
    <t>Does the SOC have measures to detect if the audit configuration on critical (and compliance) systems have been disabled?</t>
  </si>
  <si>
    <t>4.8.6</t>
  </si>
  <si>
    <t>Does the SOC update and refresh audit configuration on an annual basis?</t>
  </si>
  <si>
    <t>4.8.7</t>
  </si>
  <si>
    <t>Has the audit configuration been inserted into the gold build process?</t>
  </si>
  <si>
    <t>4.8.8</t>
  </si>
  <si>
    <t>Has the audit configuration been inserted into the new device certification process (e.g. building a new system)</t>
  </si>
  <si>
    <t>4.9 - Common Operating Picture</t>
  </si>
  <si>
    <t>4.9.1</t>
  </si>
  <si>
    <t>Monitoring data are aggregated to provide near-real-time understanding of the cybersecurity state for the function to enhance the common operating picture</t>
  </si>
  <si>
    <t>4.9.2</t>
  </si>
  <si>
    <t>Information from outside the organization is collected to enhance the common operating picture</t>
  </si>
  <si>
    <t>4.9.3</t>
  </si>
  <si>
    <t>Pre-defined states of operation are defined and invoked (manual or automated process) based on the common operating picture</t>
  </si>
  <si>
    <t>4.9.4</t>
  </si>
  <si>
    <t>Monitoring data are aggregated to provide near-real-time understanding of the operational state of the function (i.e., a common operating picture; a COP may  or may  not include visualization or be presented graphically)</t>
  </si>
  <si>
    <t>4.9.5</t>
  </si>
  <si>
    <t>Methods of communicating the current state of cybersecurity for the function are established and maintained</t>
  </si>
  <si>
    <t>4.9.6</t>
  </si>
  <si>
    <t>Information from across the organization is available to enhance the common operating picture</t>
  </si>
  <si>
    <t>4.9.7</t>
  </si>
  <si>
    <t>Intelligence feeds exist from regions or areas that need to be segregated from the GSOC (if applicable)?</t>
  </si>
  <si>
    <t>No integration with VMS</t>
  </si>
  <si>
    <t>MPLS lines are available</t>
  </si>
  <si>
    <t>All the security related events are correlated</t>
  </si>
  <si>
    <t>VMS solution is not integrated</t>
  </si>
  <si>
    <t>usecase enabled for privilege user login</t>
  </si>
  <si>
    <t>System accounts/ service accounts are not monitored</t>
  </si>
  <si>
    <t>RDP access without CyberArk</t>
  </si>
  <si>
    <t>SNOW SIR module under implementation</t>
  </si>
  <si>
    <t>Only security related events are monitored</t>
  </si>
  <si>
    <t>Monthly update is done for network hierarchy</t>
  </si>
  <si>
    <t>Physical security related alerts are not monitored on SOC. A separate monitoring process in place.</t>
  </si>
  <si>
    <t>9 months offline</t>
  </si>
  <si>
    <t>SOC should maintin a secure Gold Release repository for tested builds and versions (including FlexConnectors)</t>
  </si>
  <si>
    <t>All open source or non commercial SOC tools should be approved by IT Security before implementation into the SOC environment</t>
  </si>
  <si>
    <t>All major SOC outages should undergo a consistent post incident review</t>
  </si>
  <si>
    <t xml:space="preserve">Events are correlated on the basis of same attributes </t>
  </si>
  <si>
    <t>SOC management should monitor trends on SOC availability and report metrics up to key business stakholders</t>
  </si>
  <si>
    <t>Can be done</t>
  </si>
  <si>
    <t>Manual configuration is required</t>
  </si>
  <si>
    <t>Manual configuration is required for new devices</t>
  </si>
  <si>
    <t>VMS Solution is not integrated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</si>
</sst>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
  </numFmts>
  <fonts count="53" x14ac:knownFonts="1">
    <font>
      <sz val="11"/>
      <color theme="1"/>
      <name val="Calibri"/>
      <family val="2"/>
      <scheme val="minor"/>
    </font>
    <font>
      <sz val="10"/>
      <color indexed="8"/>
      <name val="Arial"/>
      <family val="2"/>
    </font>
    <font>
      <b/>
      <sz val="10"/>
      <color indexed="8"/>
      <name val="Arial"/>
      <family val="2"/>
    </font>
    <font>
      <b/>
      <sz val="8"/>
      <color indexed="8"/>
      <name val="Arial"/>
      <family val="2"/>
    </font>
    <font>
      <sz val="8"/>
      <color indexed="8"/>
      <name val="Arial"/>
      <family val="2"/>
    </font>
    <font>
      <b/>
      <sz val="9"/>
      <color indexed="8"/>
      <name val="Arial"/>
      <family val="2"/>
    </font>
    <font>
      <sz val="9"/>
      <color indexed="8"/>
      <name val="Calibri"/>
      <family val="2"/>
    </font>
    <font>
      <sz val="8"/>
      <name val="Calibri"/>
      <family val="2"/>
    </font>
    <font>
      <sz val="16"/>
      <color indexed="8"/>
      <name val="Calibri"/>
      <family val="2"/>
    </font>
    <font>
      <b/>
      <sz val="11"/>
      <color theme="1"/>
      <name val="Calibri"/>
      <family val="2"/>
      <scheme val="minor"/>
    </font>
    <font>
      <b/>
      <sz val="9"/>
      <color theme="1"/>
      <name val="Calibri"/>
      <family val="2"/>
      <scheme val="minor"/>
    </font>
    <font>
      <sz val="9"/>
      <color theme="1"/>
      <name val="Calibri"/>
      <family val="2"/>
      <scheme val="minor"/>
    </font>
    <font>
      <sz val="8"/>
      <color indexed="8"/>
      <name val="Verdana"/>
      <family val="2"/>
    </font>
    <font>
      <b/>
      <sz val="8"/>
      <color indexed="8"/>
      <name val="Verdana"/>
      <family val="2"/>
    </font>
    <font>
      <sz val="11"/>
      <color theme="0"/>
      <name val="Calibri"/>
      <family val="2"/>
      <scheme val="minor"/>
    </font>
    <font>
      <b/>
      <sz val="11"/>
      <color theme="0"/>
      <name val="Calibri"/>
      <family val="2"/>
      <scheme val="minor"/>
    </font>
    <font>
      <u/>
      <sz val="11"/>
      <color theme="10"/>
      <name val="Calibri"/>
      <family val="2"/>
      <scheme val="minor"/>
    </font>
    <font>
      <u/>
      <sz val="11"/>
      <color theme="11"/>
      <name val="Calibri"/>
      <family val="2"/>
      <scheme val="minor"/>
    </font>
    <font>
      <b/>
      <sz val="7"/>
      <color rgb="FF002776"/>
      <name val="Verdana"/>
      <family val="2"/>
    </font>
    <font>
      <b/>
      <sz val="8"/>
      <color theme="0"/>
      <name val="Verdana"/>
      <family val="2"/>
    </font>
    <font>
      <b/>
      <sz val="7"/>
      <color rgb="FF002776"/>
      <name val="Verdana"/>
      <family val="2"/>
    </font>
    <font>
      <b/>
      <sz val="14"/>
      <color theme="0"/>
      <name val="Times New Roman"/>
      <family val="1"/>
    </font>
    <font>
      <b/>
      <sz val="10"/>
      <color rgb="FF002776"/>
      <name val="Verdana"/>
      <family val="2"/>
    </font>
    <font>
      <b/>
      <sz val="20"/>
      <color theme="0"/>
      <name val="Times New Roman"/>
      <family val="1"/>
    </font>
    <font>
      <b/>
      <sz val="11"/>
      <color theme="0"/>
      <name val="Verdana"/>
      <family val="2"/>
    </font>
    <font>
      <b/>
      <sz val="14"/>
      <color theme="0"/>
      <name val="Calibri"/>
      <family val="2"/>
    </font>
    <font>
      <sz val="9"/>
      <color indexed="81"/>
      <name val="Tahoma"/>
      <family val="2"/>
    </font>
    <font>
      <b/>
      <sz val="9"/>
      <color indexed="81"/>
      <name val="Tahoma"/>
      <family val="2"/>
    </font>
    <font>
      <b/>
      <sz val="14"/>
      <color rgb="FFFFFF00"/>
      <name val="Times New Roman"/>
      <family val="1"/>
    </font>
    <font>
      <b/>
      <sz val="8"/>
      <color rgb="FFFFFFFF"/>
      <name val="Verdana"/>
      <family val="2"/>
    </font>
    <font>
      <b/>
      <sz val="8"/>
      <color rgb="FF002060"/>
      <name val="Verdana"/>
      <family val="2"/>
    </font>
    <font>
      <sz val="8"/>
      <color rgb="FF002060"/>
      <name val="Verdana"/>
      <family val="2"/>
    </font>
    <font>
      <sz val="8"/>
      <color rgb="FFFFFFFF"/>
      <name val="Verdana"/>
      <family val="2"/>
    </font>
    <font>
      <sz val="8"/>
      <name val="Arial"/>
      <family val="2"/>
    </font>
    <font>
      <sz val="8"/>
      <color theme="0"/>
      <name val="Verdana"/>
      <family val="2"/>
    </font>
    <font>
      <b/>
      <sz val="8"/>
      <color theme="4" tint="-0.499984740745262"/>
      <name val="Verdana"/>
      <family val="2"/>
    </font>
    <font>
      <sz val="8"/>
      <color rgb="FF703504"/>
      <name val="Verdana"/>
      <family val="2"/>
    </font>
    <font>
      <sz val="8"/>
      <name val="Verdana"/>
      <family val="2"/>
    </font>
    <font>
      <b/>
      <sz val="8"/>
      <color theme="4" tint="-0.249977111117893"/>
      <name val="Verdana"/>
      <family val="2"/>
    </font>
    <font>
      <sz val="8"/>
      <color theme="4" tint="-0.249977111117893"/>
      <name val="Verdana"/>
      <family val="2"/>
    </font>
    <font>
      <b/>
      <sz val="8"/>
      <color rgb="FF602E04"/>
      <name val="Verdana"/>
      <family val="2"/>
    </font>
    <font>
      <b/>
      <sz val="8"/>
      <color theme="4" tint="-0.249977111117893"/>
      <name val="Arial"/>
      <family val="2"/>
    </font>
    <font>
      <sz val="8"/>
      <color theme="4" tint="-0.499984740745262"/>
      <name val="Arial"/>
      <family val="2"/>
    </font>
    <font>
      <sz val="8"/>
      <color rgb="FF602E04"/>
      <name val="Arial"/>
      <family val="2"/>
    </font>
    <font>
      <sz val="8"/>
      <color theme="4" tint="-0.249977111117893"/>
      <name val="Arial"/>
      <family val="2"/>
    </font>
    <font>
      <sz val="8"/>
      <color theme="4" tint="-0.249977111117893"/>
      <name val="Symbol"/>
      <family val="1"/>
      <charset val="2"/>
    </font>
    <font>
      <sz val="8"/>
      <color theme="4" tint="-0.249977111117893"/>
      <name val="Times New Roman"/>
      <family val="1"/>
    </font>
    <font>
      <sz val="8"/>
      <color theme="4" tint="-0.249977111117893"/>
      <name val="Courier New"/>
      <family val="3"/>
    </font>
    <font>
      <b/>
      <sz val="10"/>
      <color rgb="FFFFFF00"/>
      <name val="Times New Roman"/>
      <family val="1"/>
    </font>
    <font>
      <b/>
      <sz val="8"/>
      <color rgb="FFFF0000"/>
      <name val="Verdana"/>
      <family val="2"/>
    </font>
    <font>
      <sz val="9"/>
      <name val="Calibri"/>
      <family val="2"/>
    </font>
    <font>
      <b/>
      <sz val="7"/>
      <color rgb="FFFF0000"/>
      <name val="Verdana"/>
      <family val="2"/>
    </font>
    <font>
      <sz val="9"/>
      <color indexed="62"/>
      <name val="Calibri"/>
      <family val="2"/>
    </font>
  </fonts>
  <fills count="24">
    <fill>
      <patternFill patternType="none"/>
    </fill>
    <fill>
      <patternFill patternType="gray125"/>
    </fill>
    <fill>
      <patternFill patternType="solid">
        <fgColor theme="4" tint="-0.249977111117893"/>
        <bgColor indexed="64"/>
      </patternFill>
    </fill>
    <fill>
      <patternFill patternType="solid">
        <fgColor theme="4" tint="0.39994506668294322"/>
        <bgColor indexed="64"/>
      </patternFill>
    </fill>
    <fill>
      <patternFill patternType="solid">
        <fgColor rgb="FFC00000"/>
        <bgColor indexed="64"/>
      </patternFill>
    </fill>
    <fill>
      <patternFill patternType="solid">
        <fgColor theme="9" tint="-0.249977111117893"/>
        <bgColor indexed="64"/>
      </patternFill>
    </fill>
    <fill>
      <patternFill patternType="solid">
        <fgColor theme="6" tint="-0.249977111117893"/>
        <bgColor indexed="64"/>
      </patternFill>
    </fill>
    <fill>
      <patternFill patternType="solid">
        <fgColor rgb="FFCCCC00"/>
        <bgColor indexed="64"/>
      </patternFill>
    </fill>
    <fill>
      <patternFill patternType="solid">
        <fgColor rgb="FF0070C0"/>
        <bgColor indexed="64"/>
      </patternFill>
    </fill>
    <fill>
      <patternFill patternType="solid">
        <fgColor theme="9" tint="-0.499984740745262"/>
        <bgColor indexed="64"/>
      </patternFill>
    </fill>
    <fill>
      <patternFill patternType="solid">
        <fgColor rgb="FF92D050"/>
        <bgColor indexed="64"/>
      </patternFill>
    </fill>
    <fill>
      <patternFill patternType="solid">
        <fgColor rgb="FF002060"/>
        <bgColor indexed="64"/>
      </patternFill>
    </fill>
    <fill>
      <patternFill patternType="solid">
        <fgColor rgb="FF87A4C3"/>
        <bgColor indexed="64"/>
      </patternFill>
    </fill>
    <fill>
      <patternFill patternType="solid">
        <fgColor rgb="FFF4F7FA"/>
        <bgColor indexed="64"/>
      </patternFill>
    </fill>
    <fill>
      <patternFill patternType="solid">
        <fgColor theme="0" tint="-0.249977111117893"/>
        <bgColor indexed="64"/>
      </patternFill>
    </fill>
    <fill>
      <patternFill patternType="solid">
        <fgColor theme="4" tint="0.39997558519241921"/>
        <bgColor indexed="64"/>
      </patternFill>
    </fill>
    <fill>
      <patternFill patternType="solid">
        <fgColor theme="4" tint="0.59999389629810485"/>
        <bgColor indexed="64"/>
      </patternFill>
    </fill>
    <fill>
      <patternFill patternType="solid">
        <fgColor rgb="FF95B3D7"/>
        <bgColor indexed="64"/>
      </patternFill>
    </fill>
    <fill>
      <patternFill patternType="solid">
        <fgColor theme="9" tint="0.39997558519241921"/>
        <bgColor indexed="64"/>
      </patternFill>
    </fill>
    <fill>
      <patternFill patternType="solid">
        <fgColor indexed="9"/>
        <bgColor indexed="64"/>
      </patternFill>
    </fill>
    <fill>
      <patternFill patternType="solid">
        <fgColor theme="0"/>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rgb="FFFFFF00"/>
        <bgColor indexed="64"/>
      </patternFill>
    </fill>
  </fills>
  <borders count="14">
    <border>
      <left/>
      <right/>
      <top/>
      <bottom/>
      <diagonal/>
    </border>
    <border>
      <left style="thin">
        <color auto="1"/>
      </left>
      <right style="thin">
        <color auto="1"/>
      </right>
      <top style="thin">
        <color auto="1"/>
      </top>
      <bottom style="thin">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hair">
        <color rgb="FF92D400"/>
      </left>
      <right style="hair">
        <color rgb="FF92D400"/>
      </right>
      <top style="hair">
        <color rgb="FF92D400"/>
      </top>
      <bottom style="hair">
        <color rgb="FF92D400"/>
      </bottom>
      <diagonal/>
    </border>
    <border>
      <left style="thin">
        <color theme="0"/>
      </left>
      <right style="thin">
        <color theme="0"/>
      </right>
      <top style="thin">
        <color theme="0"/>
      </top>
      <bottom style="thin">
        <color theme="0"/>
      </bottom>
      <diagonal/>
    </border>
    <border>
      <left style="thin">
        <color auto="1"/>
      </left>
      <right style="thin">
        <color auto="1"/>
      </right>
      <top/>
      <bottom/>
      <diagonal/>
    </border>
    <border>
      <left style="medium">
        <color rgb="FF9BBB59"/>
      </left>
      <right style="medium">
        <color rgb="FF92D050"/>
      </right>
      <top/>
      <bottom style="medium">
        <color rgb="FF9BBB59"/>
      </bottom>
      <diagonal/>
    </border>
    <border>
      <left style="hair">
        <color auto="1"/>
      </left>
      <right style="hair">
        <color auto="1"/>
      </right>
      <top style="hair">
        <color auto="1"/>
      </top>
      <bottom style="hair">
        <color auto="1"/>
      </bottom>
      <diagonal/>
    </border>
    <border>
      <left style="thin">
        <color rgb="FF92D050"/>
      </left>
      <right style="thin">
        <color rgb="FF92D050"/>
      </right>
      <top style="thin">
        <color rgb="FF92D050"/>
      </top>
      <bottom style="thin">
        <color rgb="FF92D050"/>
      </bottom>
      <diagonal/>
    </border>
    <border>
      <left style="hair">
        <color rgb="FF92D400"/>
      </left>
      <right/>
      <top style="hair">
        <color rgb="FF92D400"/>
      </top>
      <bottom style="hair">
        <color rgb="FF92D400"/>
      </bottom>
      <diagonal/>
    </border>
    <border>
      <left/>
      <right style="thin">
        <color auto="1"/>
      </right>
      <top style="thin">
        <color auto="1"/>
      </top>
      <bottom style="thin">
        <color auto="1"/>
      </bottom>
      <diagonal/>
    </border>
    <border>
      <left style="hair">
        <color rgb="FF92D050"/>
      </left>
      <right style="hair">
        <color rgb="FF92D050"/>
      </right>
      <top style="hair">
        <color rgb="FF92D050"/>
      </top>
      <bottom style="hair">
        <color rgb="FF92D050"/>
      </bottom>
      <diagonal/>
    </border>
    <border>
      <left style="hair">
        <color indexed="62"/>
      </left>
      <right style="hair">
        <color indexed="62"/>
      </right>
      <top style="hair">
        <color indexed="62"/>
      </top>
      <bottom style="hair">
        <color indexed="62"/>
      </bottom>
      <diagonal/>
    </border>
  </borders>
  <cellStyleXfs count="9">
    <xf numFmtId="0" fontId="0" fillId="0" borderId="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cellStyleXfs>
  <cellXfs count="231">
    <xf numFmtId="0" fontId="0" fillId="0" borderId="0" xfId="0"/>
    <xf numFmtId="0" fontId="8" fillId="0" borderId="0" xfId="0" applyFont="1"/>
    <xf numFmtId="0" fontId="14" fillId="2" borderId="0" xfId="0" applyFont="1" applyFill="1"/>
    <xf numFmtId="0" fontId="0" fillId="0" borderId="0" xfId="0" applyAlignment="1">
      <alignment vertical="center"/>
    </xf>
    <xf numFmtId="0" fontId="4" fillId="0" borderId="1" xfId="0" applyFont="1" applyBorder="1" applyAlignment="1" applyProtection="1">
      <alignment horizontal="center" vertical="center"/>
      <protection locked="0"/>
    </xf>
    <xf numFmtId="0" fontId="12" fillId="0" borderId="0" xfId="0" applyFont="1" applyAlignment="1" applyProtection="1">
      <alignment vertical="center"/>
      <protection locked="0"/>
    </xf>
    <xf numFmtId="0" fontId="0" fillId="0" borderId="0" xfId="0" applyProtection="1">
      <protection locked="0"/>
    </xf>
    <xf numFmtId="0" fontId="9" fillId="3" borderId="0" xfId="0" applyFont="1" applyFill="1" applyProtection="1">
      <protection locked="0"/>
    </xf>
    <xf numFmtId="0" fontId="6" fillId="0" borderId="0" xfId="0" applyFont="1" applyProtection="1">
      <protection locked="0"/>
    </xf>
    <xf numFmtId="0" fontId="12" fillId="0" borderId="0" xfId="0" applyFont="1" applyAlignment="1" applyProtection="1">
      <alignment vertical="center" wrapText="1"/>
      <protection locked="0"/>
    </xf>
    <xf numFmtId="0" fontId="12" fillId="0" borderId="0" xfId="0" applyFont="1" applyAlignment="1" applyProtection="1">
      <alignment horizontal="center" vertical="center"/>
      <protection locked="0"/>
    </xf>
    <xf numFmtId="1" fontId="12" fillId="0" borderId="0" xfId="0" applyNumberFormat="1" applyFont="1" applyAlignment="1" applyProtection="1">
      <alignment horizontal="center" vertical="center"/>
      <protection locked="0"/>
    </xf>
    <xf numFmtId="165" fontId="12" fillId="0" borderId="0" xfId="0" applyNumberFormat="1" applyFont="1" applyAlignment="1" applyProtection="1">
      <alignment horizontal="center" vertical="center"/>
      <protection locked="0"/>
    </xf>
    <xf numFmtId="164" fontId="12" fillId="0" borderId="0" xfId="0" applyNumberFormat="1" applyFont="1" applyAlignment="1" applyProtection="1">
      <alignment horizontal="center" vertical="center"/>
      <protection locked="0"/>
    </xf>
    <xf numFmtId="164" fontId="4" fillId="0" borderId="0" xfId="0" applyNumberFormat="1" applyFont="1" applyAlignment="1" applyProtection="1">
      <alignment horizontal="center" vertical="center"/>
      <protection locked="0"/>
    </xf>
    <xf numFmtId="0" fontId="11" fillId="0" borderId="0" xfId="0" applyFont="1" applyAlignment="1" applyProtection="1">
      <alignment wrapText="1"/>
      <protection locked="0"/>
    </xf>
    <xf numFmtId="0" fontId="10" fillId="3" borderId="0" xfId="0" applyFont="1" applyFill="1" applyAlignment="1" applyProtection="1">
      <alignment wrapText="1"/>
      <protection locked="0"/>
    </xf>
    <xf numFmtId="0" fontId="9" fillId="3" borderId="0" xfId="0" applyFont="1" applyFill="1" applyAlignment="1" applyProtection="1">
      <alignment wrapText="1"/>
      <protection locked="0"/>
    </xf>
    <xf numFmtId="0" fontId="0" fillId="0" borderId="0" xfId="0" applyAlignment="1" applyProtection="1">
      <alignment wrapText="1"/>
      <protection locked="0"/>
    </xf>
    <xf numFmtId="0" fontId="13" fillId="0" borderId="0" xfId="0" applyFont="1" applyAlignment="1" applyProtection="1">
      <alignment vertical="center" wrapText="1"/>
      <protection locked="0"/>
    </xf>
    <xf numFmtId="1" fontId="3" fillId="0" borderId="1" xfId="0" applyNumberFormat="1" applyFont="1" applyBorder="1" applyAlignment="1" applyProtection="1">
      <alignment horizontal="center" vertical="center"/>
      <protection locked="0"/>
    </xf>
    <xf numFmtId="9" fontId="3" fillId="0" borderId="1" xfId="0" applyNumberFormat="1" applyFont="1" applyBorder="1" applyAlignment="1" applyProtection="1">
      <alignment horizontal="center" vertical="center"/>
      <protection locked="0"/>
    </xf>
    <xf numFmtId="0" fontId="0" fillId="0" borderId="0" xfId="0" applyAlignment="1">
      <alignment horizontal="left"/>
    </xf>
    <xf numFmtId="0" fontId="0" fillId="0" borderId="5" xfId="0" applyBorder="1"/>
    <xf numFmtId="0" fontId="6" fillId="0" borderId="5" xfId="0" applyFont="1" applyBorder="1" applyProtection="1">
      <protection locked="0"/>
    </xf>
    <xf numFmtId="0" fontId="0" fillId="0" borderId="5" xfId="0" applyBorder="1" applyProtection="1">
      <protection locked="0"/>
    </xf>
    <xf numFmtId="0" fontId="19" fillId="10" borderId="0" xfId="0" applyFont="1" applyFill="1" applyAlignment="1" applyProtection="1">
      <alignment vertical="center"/>
      <protection locked="0"/>
    </xf>
    <xf numFmtId="0" fontId="19" fillId="10" borderId="0" xfId="0" applyFont="1" applyFill="1" applyAlignment="1" applyProtection="1">
      <alignment horizontal="center" vertical="center"/>
      <protection locked="0"/>
    </xf>
    <xf numFmtId="0" fontId="19" fillId="12" borderId="0" xfId="0" applyFont="1" applyFill="1" applyAlignment="1">
      <alignment vertical="center"/>
    </xf>
    <xf numFmtId="0" fontId="19" fillId="12" borderId="0" xfId="0" applyFont="1" applyFill="1" applyAlignment="1" applyProtection="1">
      <alignment vertical="center"/>
      <protection locked="0"/>
    </xf>
    <xf numFmtId="0" fontId="21" fillId="11" borderId="0" xfId="0" applyFont="1" applyFill="1" applyAlignment="1" applyProtection="1">
      <alignment vertical="center"/>
      <protection locked="0"/>
    </xf>
    <xf numFmtId="0" fontId="21" fillId="11" borderId="0" xfId="0" applyFont="1" applyFill="1" applyAlignment="1" applyProtection="1">
      <alignment vertical="center" wrapText="1"/>
      <protection locked="0"/>
    </xf>
    <xf numFmtId="0" fontId="18" fillId="0" borderId="4" xfId="0" applyFont="1" applyBorder="1" applyAlignment="1">
      <alignment horizontal="left" vertical="center" wrapText="1" readingOrder="1"/>
    </xf>
    <xf numFmtId="0" fontId="11" fillId="0" borderId="0" xfId="0" applyFont="1" applyAlignment="1" applyProtection="1">
      <alignment vertical="center" wrapText="1"/>
      <protection locked="0"/>
    </xf>
    <xf numFmtId="0" fontId="0" fillId="0" borderId="0" xfId="0" applyAlignment="1" applyProtection="1">
      <alignment vertical="center"/>
      <protection locked="0"/>
    </xf>
    <xf numFmtId="0" fontId="20" fillId="13" borderId="4" xfId="0" applyFont="1" applyFill="1" applyBorder="1" applyAlignment="1">
      <alignment horizontal="left" vertical="center" wrapText="1" readingOrder="1"/>
    </xf>
    <xf numFmtId="0" fontId="4" fillId="13" borderId="1" xfId="0" applyFont="1" applyFill="1" applyBorder="1" applyAlignment="1" applyProtection="1">
      <alignment horizontal="center" vertical="center"/>
      <protection locked="0"/>
    </xf>
    <xf numFmtId="0" fontId="11" fillId="13" borderId="0" xfId="0" applyFont="1" applyFill="1" applyAlignment="1" applyProtection="1">
      <alignment vertical="center" wrapText="1"/>
      <protection locked="0"/>
    </xf>
    <xf numFmtId="0" fontId="0" fillId="13" borderId="0" xfId="0" applyFill="1" applyAlignment="1" applyProtection="1">
      <alignment vertical="center"/>
      <protection locked="0"/>
    </xf>
    <xf numFmtId="0" fontId="20" fillId="0" borderId="4" xfId="0" applyFont="1" applyBorder="1" applyAlignment="1">
      <alignment horizontal="left" vertical="center" wrapText="1" readingOrder="1"/>
    </xf>
    <xf numFmtId="0" fontId="18" fillId="13" borderId="4" xfId="0" applyFont="1" applyFill="1" applyBorder="1" applyAlignment="1">
      <alignment horizontal="left" vertical="center" wrapText="1" readingOrder="1"/>
    </xf>
    <xf numFmtId="0" fontId="0" fillId="13" borderId="0" xfId="0" applyFill="1" applyAlignment="1" applyProtection="1">
      <alignment vertical="center" wrapText="1"/>
      <protection locked="0"/>
    </xf>
    <xf numFmtId="0" fontId="11" fillId="0" borderId="0" xfId="0" applyFont="1" applyAlignment="1" applyProtection="1">
      <alignment horizontal="left" vertical="center" wrapText="1"/>
      <protection locked="0"/>
    </xf>
    <xf numFmtId="0" fontId="20" fillId="0" borderId="0" xfId="0" applyFont="1" applyAlignment="1">
      <alignment horizontal="left" vertical="center" wrapText="1" readingOrder="1"/>
    </xf>
    <xf numFmtId="0" fontId="18" fillId="0" borderId="0" xfId="0" applyFont="1" applyAlignment="1">
      <alignment horizontal="left" vertical="center" wrapText="1" readingOrder="1"/>
    </xf>
    <xf numFmtId="0" fontId="0" fillId="14" borderId="0" xfId="0" applyFill="1" applyProtection="1">
      <protection locked="0"/>
    </xf>
    <xf numFmtId="0" fontId="5" fillId="14" borderId="2" xfId="0" applyFont="1" applyFill="1" applyBorder="1" applyAlignment="1" applyProtection="1">
      <alignment horizontal="right" vertical="center" wrapText="1"/>
      <protection locked="0"/>
    </xf>
    <xf numFmtId="1" fontId="3" fillId="14" borderId="3" xfId="0" applyNumberFormat="1" applyFont="1" applyFill="1" applyBorder="1" applyAlignment="1" applyProtection="1">
      <alignment horizontal="center" vertical="center"/>
      <protection locked="0"/>
    </xf>
    <xf numFmtId="0" fontId="0" fillId="14" borderId="0" xfId="0" applyFill="1" applyAlignment="1" applyProtection="1">
      <alignment wrapText="1"/>
      <protection locked="0"/>
    </xf>
    <xf numFmtId="0" fontId="11" fillId="14" borderId="0" xfId="0" applyFont="1" applyFill="1" applyAlignment="1" applyProtection="1">
      <alignment wrapText="1"/>
      <protection locked="0"/>
    </xf>
    <xf numFmtId="0" fontId="5" fillId="14" borderId="2" xfId="0" applyFont="1" applyFill="1" applyBorder="1" applyAlignment="1" applyProtection="1">
      <alignment horizontal="left" vertical="center" wrapText="1"/>
      <protection locked="0"/>
    </xf>
    <xf numFmtId="9" fontId="3" fillId="14" borderId="1" xfId="0" applyNumberFormat="1" applyFont="1" applyFill="1" applyBorder="1" applyAlignment="1" applyProtection="1">
      <alignment horizontal="center" vertical="center"/>
      <protection locked="0"/>
    </xf>
    <xf numFmtId="164" fontId="4" fillId="14" borderId="0" xfId="0" applyNumberFormat="1" applyFont="1" applyFill="1" applyAlignment="1" applyProtection="1">
      <alignment horizontal="center" vertical="center"/>
      <protection locked="0"/>
    </xf>
    <xf numFmtId="0" fontId="20" fillId="13" borderId="0" xfId="0" applyFont="1" applyFill="1" applyAlignment="1">
      <alignment horizontal="left" vertical="center" wrapText="1" readingOrder="1"/>
    </xf>
    <xf numFmtId="0" fontId="4" fillId="0" borderId="1" xfId="0" applyFont="1" applyBorder="1" applyAlignment="1" applyProtection="1">
      <alignment horizontal="center" vertical="center" readingOrder="1"/>
      <protection locked="0"/>
    </xf>
    <xf numFmtId="0" fontId="18" fillId="13" borderId="0" xfId="0" applyFont="1" applyFill="1" applyAlignment="1">
      <alignment horizontal="left" vertical="center" wrapText="1" readingOrder="1"/>
    </xf>
    <xf numFmtId="0" fontId="0" fillId="0" borderId="5" xfId="0" applyBorder="1" applyAlignment="1">
      <alignment vertical="center"/>
    </xf>
    <xf numFmtId="0" fontId="6" fillId="0" borderId="5" xfId="0" applyFont="1" applyBorder="1" applyAlignment="1" applyProtection="1">
      <alignment vertical="center"/>
      <protection locked="0"/>
    </xf>
    <xf numFmtId="0" fontId="0" fillId="0" borderId="5" xfId="0" applyBorder="1" applyAlignment="1" applyProtection="1">
      <alignment vertical="center"/>
      <protection locked="0"/>
    </xf>
    <xf numFmtId="0" fontId="6" fillId="0" borderId="0" xfId="0" applyFont="1" applyAlignment="1" applyProtection="1">
      <alignment vertical="center"/>
      <protection locked="0"/>
    </xf>
    <xf numFmtId="0" fontId="6" fillId="0" borderId="5" xfId="0" applyFont="1" applyBorder="1" applyAlignment="1" applyProtection="1">
      <alignment vertical="center" readingOrder="1"/>
      <protection locked="0"/>
    </xf>
    <xf numFmtId="0" fontId="0" fillId="0" borderId="5" xfId="0" applyBorder="1" applyAlignment="1" applyProtection="1">
      <alignment vertical="center" readingOrder="1"/>
      <protection locked="0"/>
    </xf>
    <xf numFmtId="0" fontId="21" fillId="11" borderId="0" xfId="0" applyFont="1" applyFill="1" applyAlignment="1" applyProtection="1">
      <alignment vertical="center" readingOrder="1"/>
      <protection locked="0"/>
    </xf>
    <xf numFmtId="0" fontId="21" fillId="11" borderId="0" xfId="0" applyFont="1" applyFill="1" applyAlignment="1" applyProtection="1">
      <alignment vertical="center" wrapText="1" readingOrder="1"/>
      <protection locked="0"/>
    </xf>
    <xf numFmtId="0" fontId="19" fillId="10" borderId="0" xfId="0" applyFont="1" applyFill="1" applyAlignment="1" applyProtection="1">
      <alignment vertical="center" readingOrder="1"/>
      <protection locked="0"/>
    </xf>
    <xf numFmtId="0" fontId="19" fillId="12" borderId="0" xfId="0" applyFont="1" applyFill="1" applyAlignment="1">
      <alignment vertical="center" readingOrder="1"/>
    </xf>
    <xf numFmtId="0" fontId="19" fillId="12" borderId="0" xfId="0" applyFont="1" applyFill="1" applyAlignment="1" applyProtection="1">
      <alignment vertical="center" readingOrder="1"/>
      <protection locked="0"/>
    </xf>
    <xf numFmtId="0" fontId="0" fillId="0" borderId="0" xfId="0" applyAlignment="1" applyProtection="1">
      <alignment vertical="center" readingOrder="1"/>
      <protection locked="0"/>
    </xf>
    <xf numFmtId="0" fontId="2" fillId="0" borderId="0" xfId="0" applyFont="1" applyAlignment="1" applyProtection="1">
      <alignment horizontal="center" vertical="center" readingOrder="1"/>
      <protection locked="0"/>
    </xf>
    <xf numFmtId="0" fontId="1" fillId="0" borderId="0" xfId="0" applyFont="1" applyAlignment="1" applyProtection="1">
      <alignment vertical="center" readingOrder="1"/>
      <protection locked="0"/>
    </xf>
    <xf numFmtId="0" fontId="2" fillId="0" borderId="0" xfId="0" applyFont="1" applyAlignment="1" applyProtection="1">
      <alignment vertical="center" readingOrder="1"/>
      <protection locked="0"/>
    </xf>
    <xf numFmtId="0" fontId="6" fillId="0" borderId="0" xfId="0" applyFont="1" applyAlignment="1" applyProtection="1">
      <alignment vertical="center" readingOrder="1"/>
      <protection locked="0"/>
    </xf>
    <xf numFmtId="0" fontId="11" fillId="0" borderId="0" xfId="0" applyFont="1" applyAlignment="1" applyProtection="1">
      <alignment vertical="center"/>
      <protection locked="0"/>
    </xf>
    <xf numFmtId="0" fontId="0" fillId="0" borderId="0" xfId="0" applyAlignment="1" applyProtection="1">
      <alignment vertical="center" wrapText="1"/>
      <protection locked="0"/>
    </xf>
    <xf numFmtId="1" fontId="3" fillId="0" borderId="6" xfId="0" applyNumberFormat="1" applyFont="1" applyBorder="1" applyAlignment="1" applyProtection="1">
      <alignment horizontal="center" vertical="center"/>
      <protection locked="0"/>
    </xf>
    <xf numFmtId="0" fontId="22" fillId="0" borderId="4" xfId="0" applyFont="1" applyBorder="1" applyAlignment="1">
      <alignment horizontal="left" vertical="center" wrapText="1" readingOrder="1"/>
    </xf>
    <xf numFmtId="0" fontId="22" fillId="0" borderId="4" xfId="0" applyFont="1" applyBorder="1" applyAlignment="1">
      <alignment horizontal="center" vertical="center" wrapText="1" readingOrder="1"/>
    </xf>
    <xf numFmtId="0" fontId="23" fillId="11" borderId="0" xfId="0" applyFont="1" applyFill="1" applyAlignment="1" applyProtection="1">
      <alignment vertical="center"/>
      <protection locked="0"/>
    </xf>
    <xf numFmtId="0" fontId="23" fillId="11" borderId="0" xfId="0" applyFont="1" applyFill="1" applyAlignment="1" applyProtection="1">
      <alignment vertical="center" wrapText="1"/>
      <protection locked="0"/>
    </xf>
    <xf numFmtId="0" fontId="24" fillId="10" borderId="0" xfId="0" applyFont="1" applyFill="1"/>
    <xf numFmtId="0" fontId="25" fillId="8" borderId="0" xfId="0" applyFont="1" applyFill="1"/>
    <xf numFmtId="1" fontId="22" fillId="0" borderId="4" xfId="0" applyNumberFormat="1" applyFont="1" applyBorder="1" applyAlignment="1">
      <alignment horizontal="center" vertical="center" wrapText="1" readingOrder="1"/>
    </xf>
    <xf numFmtId="0" fontId="24" fillId="10" borderId="0" xfId="0" applyFont="1" applyFill="1" applyAlignment="1">
      <alignment horizontal="center"/>
    </xf>
    <xf numFmtId="9" fontId="22" fillId="0" borderId="4" xfId="0" applyNumberFormat="1" applyFont="1" applyBorder="1" applyAlignment="1">
      <alignment horizontal="center" vertical="center" wrapText="1" readingOrder="1"/>
    </xf>
    <xf numFmtId="0" fontId="14" fillId="2" borderId="0" xfId="0" applyFont="1" applyFill="1" applyAlignment="1">
      <alignment horizontal="left"/>
    </xf>
    <xf numFmtId="0" fontId="15" fillId="4" borderId="0" xfId="0" applyFont="1" applyFill="1" applyAlignment="1">
      <alignment vertical="center"/>
    </xf>
    <xf numFmtId="0" fontId="15" fillId="4" borderId="0" xfId="0" applyFont="1" applyFill="1" applyAlignment="1">
      <alignment horizontal="left" vertical="center"/>
    </xf>
    <xf numFmtId="0" fontId="15" fillId="4" borderId="0" xfId="0" applyFont="1" applyFill="1" applyAlignment="1">
      <alignment vertical="center" wrapText="1"/>
    </xf>
    <xf numFmtId="9" fontId="15" fillId="4" borderId="0" xfId="0" applyNumberFormat="1" applyFont="1" applyFill="1" applyAlignment="1">
      <alignment vertical="center"/>
    </xf>
    <xf numFmtId="0" fontId="15" fillId="9" borderId="0" xfId="0" applyFont="1" applyFill="1" applyAlignment="1">
      <alignment vertical="center"/>
    </xf>
    <xf numFmtId="0" fontId="15" fillId="9" borderId="0" xfId="0" applyFont="1" applyFill="1" applyAlignment="1">
      <alignment horizontal="left" vertical="center"/>
    </xf>
    <xf numFmtId="0" fontId="15" fillId="9" borderId="0" xfId="0" applyFont="1" applyFill="1" applyAlignment="1">
      <alignment vertical="center" wrapText="1"/>
    </xf>
    <xf numFmtId="9" fontId="15" fillId="9" borderId="0" xfId="0" applyNumberFormat="1" applyFont="1" applyFill="1" applyAlignment="1">
      <alignment vertical="center"/>
    </xf>
    <xf numFmtId="0" fontId="15" fillId="5" borderId="0" xfId="0" applyFont="1" applyFill="1" applyAlignment="1">
      <alignment vertical="center"/>
    </xf>
    <xf numFmtId="0" fontId="15" fillId="5" borderId="0" xfId="0" applyFont="1" applyFill="1" applyAlignment="1">
      <alignment horizontal="left" vertical="center"/>
    </xf>
    <xf numFmtId="0" fontId="15" fillId="5" borderId="0" xfId="0" applyFont="1" applyFill="1" applyAlignment="1">
      <alignment vertical="center" wrapText="1"/>
    </xf>
    <xf numFmtId="9" fontId="15" fillId="5" borderId="0" xfId="0" applyNumberFormat="1" applyFont="1" applyFill="1" applyAlignment="1">
      <alignment vertical="center"/>
    </xf>
    <xf numFmtId="0" fontId="15" fillId="7" borderId="0" xfId="0" applyFont="1" applyFill="1" applyAlignment="1">
      <alignment vertical="center"/>
    </xf>
    <xf numFmtId="0" fontId="15" fillId="7" borderId="0" xfId="0" applyFont="1" applyFill="1" applyAlignment="1">
      <alignment horizontal="left" vertical="center"/>
    </xf>
    <xf numFmtId="0" fontId="15" fillId="7" borderId="0" xfId="0" applyFont="1" applyFill="1" applyAlignment="1">
      <alignment vertical="center" wrapText="1"/>
    </xf>
    <xf numFmtId="9" fontId="15" fillId="7" borderId="0" xfId="0" applyNumberFormat="1" applyFont="1" applyFill="1" applyAlignment="1">
      <alignment vertical="center"/>
    </xf>
    <xf numFmtId="0" fontId="15" fillId="6" borderId="0" xfId="0" applyFont="1" applyFill="1" applyAlignment="1">
      <alignment vertical="center"/>
    </xf>
    <xf numFmtId="0" fontId="15" fillId="6" borderId="0" xfId="0" applyFont="1" applyFill="1" applyAlignment="1">
      <alignment horizontal="left" vertical="center"/>
    </xf>
    <xf numFmtId="0" fontId="15" fillId="6" borderId="0" xfId="0" applyFont="1" applyFill="1" applyAlignment="1">
      <alignment vertical="center" wrapText="1"/>
    </xf>
    <xf numFmtId="9" fontId="15" fillId="6" borderId="0" xfId="0" applyNumberFormat="1" applyFont="1" applyFill="1" applyAlignment="1">
      <alignment vertical="center"/>
    </xf>
    <xf numFmtId="0" fontId="15" fillId="8" borderId="0" xfId="0" applyFont="1" applyFill="1" applyAlignment="1">
      <alignment vertical="center"/>
    </xf>
    <xf numFmtId="0" fontId="15" fillId="8" borderId="0" xfId="0" applyFont="1" applyFill="1" applyAlignment="1">
      <alignment horizontal="left" vertical="center"/>
    </xf>
    <xf numFmtId="0" fontId="15" fillId="8" borderId="0" xfId="0" applyFont="1" applyFill="1" applyAlignment="1">
      <alignment vertical="center" wrapText="1"/>
    </xf>
    <xf numFmtId="9" fontId="15" fillId="8" borderId="0" xfId="0" applyNumberFormat="1" applyFont="1" applyFill="1" applyAlignment="1">
      <alignment vertical="center"/>
    </xf>
    <xf numFmtId="0" fontId="12" fillId="0" borderId="0" xfId="0" applyFont="1" applyAlignment="1">
      <alignment vertical="center"/>
    </xf>
    <xf numFmtId="0" fontId="13" fillId="0" borderId="0" xfId="0" applyFont="1" applyAlignment="1">
      <alignment vertical="center" wrapText="1"/>
    </xf>
    <xf numFmtId="0" fontId="19" fillId="10" borderId="0" xfId="0" applyFont="1" applyFill="1" applyAlignment="1">
      <alignment vertical="center" readingOrder="1"/>
    </xf>
    <xf numFmtId="0" fontId="20" fillId="13" borderId="4" xfId="0" applyFont="1" applyFill="1" applyBorder="1" applyAlignment="1" applyProtection="1">
      <alignment horizontal="left" vertical="center" wrapText="1" readingOrder="1"/>
      <protection locked="0"/>
    </xf>
    <xf numFmtId="0" fontId="18" fillId="0" borderId="0" xfId="0" applyFont="1" applyAlignment="1" applyProtection="1">
      <alignment horizontal="left" vertical="center" wrapText="1" readingOrder="1"/>
      <protection locked="0"/>
    </xf>
    <xf numFmtId="0" fontId="18" fillId="0" borderId="4" xfId="0" applyFont="1" applyBorder="1" applyAlignment="1" applyProtection="1">
      <alignment horizontal="left" vertical="center" wrapText="1" readingOrder="1"/>
      <protection locked="0"/>
    </xf>
    <xf numFmtId="0" fontId="20" fillId="13" borderId="0" xfId="0" applyFont="1" applyFill="1" applyAlignment="1" applyProtection="1">
      <alignment horizontal="left" vertical="center" wrapText="1" readingOrder="1"/>
      <protection locked="0"/>
    </xf>
    <xf numFmtId="0" fontId="18" fillId="13" borderId="4" xfId="0" applyFont="1" applyFill="1" applyBorder="1" applyAlignment="1" applyProtection="1">
      <alignment horizontal="left" vertical="center" wrapText="1" readingOrder="1"/>
      <protection locked="0"/>
    </xf>
    <xf numFmtId="0" fontId="20" fillId="0" borderId="4" xfId="0" applyFont="1" applyBorder="1" applyAlignment="1" applyProtection="1">
      <alignment horizontal="left" vertical="center" wrapText="1" readingOrder="1"/>
      <protection locked="0"/>
    </xf>
    <xf numFmtId="0" fontId="20" fillId="0" borderId="0" xfId="0" applyFont="1" applyAlignment="1" applyProtection="1">
      <alignment horizontal="left" vertical="center" wrapText="1" readingOrder="1"/>
      <protection locked="0"/>
    </xf>
    <xf numFmtId="0" fontId="18" fillId="13" borderId="0" xfId="0" applyFont="1" applyFill="1" applyAlignment="1" applyProtection="1">
      <alignment horizontal="left" vertical="center" wrapText="1" readingOrder="1"/>
      <protection locked="0"/>
    </xf>
    <xf numFmtId="0" fontId="4" fillId="0" borderId="0" xfId="0" applyFont="1" applyAlignment="1" applyProtection="1">
      <alignment horizontal="center" vertical="center" readingOrder="1"/>
      <protection locked="0"/>
    </xf>
    <xf numFmtId="0" fontId="20" fillId="16" borderId="4" xfId="0" applyFont="1" applyFill="1" applyBorder="1" applyAlignment="1">
      <alignment horizontal="left" vertical="center" wrapText="1" readingOrder="1"/>
    </xf>
    <xf numFmtId="0" fontId="28" fillId="11" borderId="0" xfId="0" applyFont="1" applyFill="1" applyAlignment="1" applyProtection="1">
      <alignment vertical="center"/>
      <protection locked="0"/>
    </xf>
    <xf numFmtId="0" fontId="28" fillId="11" borderId="0" xfId="0" applyFont="1" applyFill="1" applyAlignment="1" applyProtection="1">
      <alignment vertical="center" wrapText="1"/>
      <protection locked="0"/>
    </xf>
    <xf numFmtId="0" fontId="30" fillId="0" borderId="7" xfId="0" applyFont="1" applyBorder="1" applyAlignment="1">
      <alignment vertical="center" wrapText="1"/>
    </xf>
    <xf numFmtId="0" fontId="19" fillId="10" borderId="0" xfId="0" applyFont="1" applyFill="1" applyAlignment="1" applyProtection="1">
      <alignment vertical="center" wrapText="1"/>
      <protection locked="0"/>
    </xf>
    <xf numFmtId="0" fontId="18" fillId="0" borderId="0" xfId="0" applyFont="1" applyAlignment="1">
      <alignment horizontal="left" vertical="center" wrapText="1"/>
    </xf>
    <xf numFmtId="0" fontId="0" fillId="0" borderId="5" xfId="0" applyBorder="1" applyAlignment="1">
      <alignment vertical="center" wrapText="1"/>
    </xf>
    <xf numFmtId="0" fontId="33" fillId="0" borderId="0" xfId="0" applyFont="1"/>
    <xf numFmtId="9" fontId="33" fillId="0" borderId="0" xfId="0" applyNumberFormat="1" applyFont="1"/>
    <xf numFmtId="0" fontId="34" fillId="2" borderId="0" xfId="0" applyFont="1" applyFill="1" applyAlignment="1">
      <alignment horizontal="left"/>
    </xf>
    <xf numFmtId="9" fontId="35" fillId="15" borderId="0" xfId="0" applyNumberFormat="1" applyFont="1" applyFill="1" applyAlignment="1">
      <alignment horizontal="center"/>
    </xf>
    <xf numFmtId="0" fontId="35" fillId="15" borderId="0" xfId="0" applyFont="1" applyFill="1" applyAlignment="1">
      <alignment horizontal="center"/>
    </xf>
    <xf numFmtId="0" fontId="36" fillId="18" borderId="0" xfId="0" applyFont="1" applyFill="1" applyAlignment="1">
      <alignment horizontal="center"/>
    </xf>
    <xf numFmtId="0" fontId="37" fillId="0" borderId="8" xfId="0" applyFont="1" applyBorder="1" applyAlignment="1">
      <alignment horizontal="left"/>
    </xf>
    <xf numFmtId="0" fontId="38" fillId="19" borderId="8" xfId="0" applyFont="1" applyFill="1" applyBorder="1" applyAlignment="1">
      <alignment horizontal="left"/>
    </xf>
    <xf numFmtId="3" fontId="39" fillId="20" borderId="8" xfId="0" applyNumberFormat="1" applyFont="1" applyFill="1" applyBorder="1" applyAlignment="1">
      <alignment horizontal="right"/>
    </xf>
    <xf numFmtId="3" fontId="39" fillId="0" borderId="8" xfId="0" applyNumberFormat="1" applyFont="1" applyBorder="1" applyAlignment="1">
      <alignment horizontal="right"/>
    </xf>
    <xf numFmtId="9" fontId="39" fillId="0" borderId="8" xfId="0" applyNumberFormat="1" applyFont="1" applyBorder="1" applyAlignment="1">
      <alignment horizontal="right"/>
    </xf>
    <xf numFmtId="3" fontId="39" fillId="0" borderId="0" xfId="0" applyNumberFormat="1" applyFont="1" applyAlignment="1">
      <alignment horizontal="right"/>
    </xf>
    <xf numFmtId="0" fontId="37" fillId="20" borderId="8" xfId="0" applyFont="1" applyFill="1" applyBorder="1" applyAlignment="1">
      <alignment horizontal="left"/>
    </xf>
    <xf numFmtId="0" fontId="38" fillId="20" borderId="8" xfId="0" applyFont="1" applyFill="1" applyBorder="1" applyAlignment="1">
      <alignment horizontal="left"/>
    </xf>
    <xf numFmtId="0" fontId="38" fillId="20" borderId="8" xfId="0" applyFont="1" applyFill="1" applyBorder="1" applyAlignment="1">
      <alignment horizontal="left" vertical="center"/>
    </xf>
    <xf numFmtId="0" fontId="39" fillId="20" borderId="8" xfId="0" applyFont="1" applyFill="1" applyBorder="1" applyAlignment="1">
      <alignment horizontal="right" vertical="center" wrapText="1"/>
    </xf>
    <xf numFmtId="0" fontId="39" fillId="20" borderId="8" xfId="0" applyFont="1" applyFill="1" applyBorder="1" applyAlignment="1">
      <alignment horizontal="right"/>
    </xf>
    <xf numFmtId="0" fontId="38" fillId="21" borderId="0" xfId="0" applyFont="1" applyFill="1" applyAlignment="1">
      <alignment horizontal="left"/>
    </xf>
    <xf numFmtId="0" fontId="38" fillId="21" borderId="0" xfId="0" applyFont="1" applyFill="1" applyAlignment="1">
      <alignment horizontal="right"/>
    </xf>
    <xf numFmtId="3" fontId="38" fillId="21" borderId="0" xfId="0" applyNumberFormat="1" applyFont="1" applyFill="1" applyAlignment="1">
      <alignment horizontal="left"/>
    </xf>
    <xf numFmtId="9" fontId="35" fillId="21" borderId="0" xfId="0" applyNumberFormat="1" applyFont="1" applyFill="1" applyAlignment="1">
      <alignment horizontal="right"/>
    </xf>
    <xf numFmtId="1" fontId="35" fillId="21" borderId="0" xfId="0" applyNumberFormat="1" applyFont="1" applyFill="1" applyAlignment="1">
      <alignment horizontal="right"/>
    </xf>
    <xf numFmtId="0" fontId="40" fillId="22" borderId="0" xfId="0" applyFont="1" applyFill="1" applyAlignment="1">
      <alignment horizontal="left"/>
    </xf>
    <xf numFmtId="1" fontId="40" fillId="22" borderId="0" xfId="0" applyNumberFormat="1" applyFont="1" applyFill="1" applyAlignment="1">
      <alignment horizontal="right"/>
    </xf>
    <xf numFmtId="0" fontId="41" fillId="21" borderId="0" xfId="0" applyFont="1" applyFill="1"/>
    <xf numFmtId="9" fontId="42" fillId="0" borderId="0" xfId="0" applyNumberFormat="1" applyFont="1"/>
    <xf numFmtId="0" fontId="42" fillId="0" borderId="0" xfId="0" applyFont="1"/>
    <xf numFmtId="1" fontId="42" fillId="0" borderId="0" xfId="0" applyNumberFormat="1" applyFont="1"/>
    <xf numFmtId="0" fontId="43" fillId="0" borderId="0" xfId="0" applyFont="1"/>
    <xf numFmtId="0" fontId="38" fillId="0" borderId="0" xfId="0" applyFont="1" applyAlignment="1">
      <alignment horizontal="left" vertical="center"/>
    </xf>
    <xf numFmtId="0" fontId="44" fillId="0" borderId="0" xfId="0" applyFont="1"/>
    <xf numFmtId="9" fontId="44" fillId="0" borderId="0" xfId="0" applyNumberFormat="1" applyFont="1"/>
    <xf numFmtId="0" fontId="45" fillId="0" borderId="0" xfId="0" applyFont="1" applyAlignment="1">
      <alignment horizontal="left" vertical="center" indent="4"/>
    </xf>
    <xf numFmtId="0" fontId="47" fillId="0" borderId="0" xfId="0" applyFont="1" applyAlignment="1">
      <alignment horizontal="left" vertical="center" indent="8"/>
    </xf>
    <xf numFmtId="0" fontId="44" fillId="0" borderId="0" xfId="0" applyFont="1" applyAlignment="1">
      <alignment horizontal="left"/>
    </xf>
    <xf numFmtId="0" fontId="38" fillId="0" borderId="0" xfId="0" applyFont="1" applyAlignment="1">
      <alignment horizontal="left" vertical="center" indent="4"/>
    </xf>
    <xf numFmtId="0" fontId="37" fillId="0" borderId="0" xfId="0" applyFont="1" applyAlignment="1">
      <alignment horizontal="left" vertical="center"/>
    </xf>
    <xf numFmtId="0" fontId="48" fillId="11" borderId="0" xfId="0" applyFont="1" applyFill="1" applyAlignment="1" applyProtection="1">
      <alignment vertical="center" wrapText="1"/>
      <protection locked="0"/>
    </xf>
    <xf numFmtId="0" fontId="30" fillId="0" borderId="9" xfId="0" applyFont="1" applyBorder="1" applyAlignment="1">
      <alignment vertical="center" wrapText="1"/>
    </xf>
    <xf numFmtId="0" fontId="18" fillId="0" borderId="9" xfId="0" applyFont="1" applyBorder="1" applyAlignment="1">
      <alignment horizontal="left" vertical="center" wrapText="1" readingOrder="1"/>
    </xf>
    <xf numFmtId="0" fontId="29" fillId="17" borderId="9" xfId="0" applyFont="1" applyFill="1" applyBorder="1" applyAlignment="1">
      <alignment vertical="center" wrapText="1"/>
    </xf>
    <xf numFmtId="0" fontId="18" fillId="0" borderId="9" xfId="0" applyFont="1" applyBorder="1" applyAlignment="1">
      <alignment horizontal="left" vertical="center" wrapText="1"/>
    </xf>
    <xf numFmtId="0" fontId="19" fillId="15" borderId="0" xfId="0" applyFont="1" applyFill="1" applyAlignment="1">
      <alignment vertical="center" readingOrder="1"/>
    </xf>
    <xf numFmtId="0" fontId="19" fillId="15" borderId="0" xfId="0" applyFont="1" applyFill="1" applyAlignment="1" applyProtection="1">
      <alignment vertical="center" readingOrder="1"/>
      <protection locked="0"/>
    </xf>
    <xf numFmtId="0" fontId="6" fillId="0" borderId="5" xfId="0" applyFont="1" applyBorder="1" applyAlignment="1">
      <alignment vertical="center"/>
    </xf>
    <xf numFmtId="0" fontId="21" fillId="11" borderId="0" xfId="0" applyFont="1" applyFill="1" applyAlignment="1">
      <alignment vertical="center"/>
    </xf>
    <xf numFmtId="0" fontId="19" fillId="10" borderId="0" xfId="0" applyFont="1" applyFill="1" applyAlignment="1">
      <alignment vertical="center"/>
    </xf>
    <xf numFmtId="0" fontId="11" fillId="0" borderId="0" xfId="0" applyFont="1" applyAlignment="1">
      <alignment vertical="center"/>
    </xf>
    <xf numFmtId="0" fontId="6" fillId="0" borderId="0" xfId="0" applyFont="1" applyAlignment="1">
      <alignment vertical="center"/>
    </xf>
    <xf numFmtId="0" fontId="9" fillId="3" borderId="0" xfId="0" applyFont="1" applyFill="1"/>
    <xf numFmtId="0" fontId="0" fillId="14" borderId="0" xfId="0" applyFill="1"/>
    <xf numFmtId="0" fontId="5" fillId="14" borderId="2" xfId="0" applyFont="1" applyFill="1" applyBorder="1" applyAlignment="1">
      <alignment horizontal="right" vertical="center" wrapText="1"/>
    </xf>
    <xf numFmtId="0" fontId="6" fillId="0" borderId="0" xfId="0" applyFont="1"/>
    <xf numFmtId="0" fontId="5" fillId="14" borderId="2" xfId="0" applyFont="1" applyFill="1" applyBorder="1" applyAlignment="1">
      <alignment horizontal="left" vertical="center" wrapText="1"/>
    </xf>
    <xf numFmtId="0" fontId="6" fillId="0" borderId="5" xfId="0" applyFont="1" applyBorder="1"/>
    <xf numFmtId="0" fontId="6" fillId="0" borderId="5" xfId="0" applyFont="1" applyBorder="1" applyAlignment="1">
      <alignment vertical="center" readingOrder="1"/>
    </xf>
    <xf numFmtId="0" fontId="21" fillId="11" borderId="0" xfId="0" applyFont="1" applyFill="1" applyAlignment="1">
      <alignment vertical="center" readingOrder="1"/>
    </xf>
    <xf numFmtId="0" fontId="0" fillId="0" borderId="0" xfId="0" applyAlignment="1">
      <alignment vertical="center" readingOrder="1"/>
    </xf>
    <xf numFmtId="0" fontId="6" fillId="0" borderId="0" xfId="0" applyFont="1" applyAlignment="1">
      <alignment vertical="center" readingOrder="1"/>
    </xf>
    <xf numFmtId="0" fontId="0" fillId="0" borderId="5" xfId="0" applyBorder="1" applyAlignment="1">
      <alignment vertical="center" readingOrder="1"/>
    </xf>
    <xf numFmtId="0" fontId="19" fillId="10" borderId="0" xfId="0" applyFont="1" applyFill="1" applyAlignment="1">
      <alignment horizontal="center" vertical="center" readingOrder="1"/>
    </xf>
    <xf numFmtId="0" fontId="4" fillId="0" borderId="1" xfId="0" applyFont="1" applyBorder="1" applyAlignment="1">
      <alignment horizontal="center" vertical="center" readingOrder="1"/>
    </xf>
    <xf numFmtId="1" fontId="3" fillId="0" borderId="1" xfId="0" applyNumberFormat="1" applyFont="1" applyBorder="1" applyAlignment="1">
      <alignment horizontal="center" vertical="center"/>
    </xf>
    <xf numFmtId="1" fontId="3" fillId="0" borderId="6" xfId="0" applyNumberFormat="1" applyFont="1" applyBorder="1" applyAlignment="1">
      <alignment horizontal="center" vertical="center"/>
    </xf>
    <xf numFmtId="1" fontId="3" fillId="14" borderId="3" xfId="0" applyNumberFormat="1" applyFont="1" applyFill="1" applyBorder="1" applyAlignment="1">
      <alignment horizontal="center" vertical="center"/>
    </xf>
    <xf numFmtId="9" fontId="3" fillId="0" borderId="1" xfId="0" applyNumberFormat="1" applyFont="1" applyBorder="1" applyAlignment="1">
      <alignment horizontal="center" vertical="center"/>
    </xf>
    <xf numFmtId="0" fontId="18" fillId="0" borderId="10" xfId="0" applyFont="1" applyBorder="1" applyAlignment="1">
      <alignment horizontal="left" vertical="center" wrapText="1" readingOrder="1"/>
    </xf>
    <xf numFmtId="0" fontId="20" fillId="13" borderId="10" xfId="0" applyFont="1" applyFill="1" applyBorder="1" applyAlignment="1">
      <alignment horizontal="left" vertical="center" wrapText="1" readingOrder="1"/>
    </xf>
    <xf numFmtId="0" fontId="4" fillId="0" borderId="11" xfId="0" applyFont="1" applyBorder="1" applyAlignment="1" applyProtection="1">
      <alignment horizontal="center" vertical="center" readingOrder="1"/>
      <protection locked="0"/>
    </xf>
    <xf numFmtId="0" fontId="4" fillId="0" borderId="12" xfId="0" applyFont="1" applyBorder="1" applyAlignment="1" applyProtection="1">
      <alignment horizontal="center" vertical="center" readingOrder="1"/>
      <protection locked="0"/>
    </xf>
    <xf numFmtId="0" fontId="50" fillId="0" borderId="13" xfId="0" applyFont="1" applyBorder="1" applyAlignment="1" applyProtection="1">
      <alignment vertical="top" wrapText="1"/>
      <protection locked="0"/>
    </xf>
    <xf numFmtId="0" fontId="49" fillId="0" borderId="9" xfId="0" applyFont="1" applyBorder="1" applyAlignment="1">
      <alignment horizontal="left" vertical="center" wrapText="1"/>
    </xf>
    <xf numFmtId="0" fontId="49" fillId="0" borderId="13" xfId="0" applyFont="1" applyBorder="1" applyAlignment="1" applyProtection="1">
      <alignment horizontal="left" vertical="center" wrapText="1"/>
      <protection locked="0"/>
    </xf>
    <xf numFmtId="0" fontId="51" fillId="0" borderId="0" xfId="0" applyFont="1" applyAlignment="1">
      <alignment horizontal="left" vertical="center" wrapText="1" readingOrder="1"/>
    </xf>
    <xf numFmtId="0" fontId="4" fillId="0" borderId="0" xfId="0" applyFont="1" applyAlignment="1">
      <alignment horizontal="center" vertical="center" readingOrder="1"/>
    </xf>
    <xf numFmtId="0" fontId="50" fillId="20" borderId="13" xfId="0" applyFont="1" applyFill="1" applyBorder="1" applyAlignment="1" applyProtection="1">
      <alignment vertical="top" wrapText="1"/>
      <protection locked="0"/>
    </xf>
    <xf numFmtId="0" fontId="51" fillId="0" borderId="13" xfId="0" applyFont="1" applyBorder="1" applyAlignment="1" applyProtection="1">
      <alignment horizontal="left" vertical="center" wrapText="1"/>
      <protection locked="0"/>
    </xf>
    <xf numFmtId="0" fontId="51" fillId="20" borderId="13" xfId="0" applyFont="1" applyFill="1" applyBorder="1" applyAlignment="1" applyProtection="1">
      <alignment horizontal="left" vertical="center" wrapText="1"/>
      <protection locked="0"/>
    </xf>
    <xf numFmtId="0" fontId="51" fillId="20" borderId="13" xfId="0" applyFont="1" applyFill="1" applyBorder="1" applyAlignment="1" applyProtection="1">
      <alignment vertical="center" wrapText="1"/>
      <protection locked="0"/>
    </xf>
    <xf numFmtId="0" fontId="51" fillId="0" borderId="13" xfId="0" applyFont="1" applyBorder="1" applyAlignment="1" applyProtection="1">
      <alignment vertical="center" wrapText="1"/>
      <protection locked="0"/>
    </xf>
    <xf numFmtId="0" fontId="51" fillId="13" borderId="0" xfId="0" applyFont="1" applyFill="1" applyAlignment="1">
      <alignment horizontal="left" vertical="center" wrapText="1" readingOrder="1"/>
    </xf>
    <xf numFmtId="0" fontId="4" fillId="0" borderId="0" xfId="0" applyFont="1" applyAlignment="1" applyProtection="1">
      <alignment horizontal="center" vertical="center"/>
      <protection locked="0"/>
    </xf>
    <xf numFmtId="0" fontId="52" fillId="20" borderId="8" xfId="0" applyFont="1" applyFill="1" applyBorder="1" applyAlignment="1" applyProtection="1">
      <alignment vertical="top" wrapText="1"/>
      <protection locked="0"/>
    </xf>
    <xf numFmtId="0" fontId="52" fillId="20" borderId="8" xfId="0" applyFont="1" applyFill="1" applyBorder="1" applyAlignment="1" applyProtection="1">
      <alignment horizontal="center" vertical="top" wrapText="1"/>
      <protection locked="0"/>
    </xf>
    <xf numFmtId="0" fontId="19" fillId="0" borderId="0" xfId="0" applyFont="1" applyAlignment="1" applyProtection="1">
      <alignment vertical="center"/>
      <protection locked="0"/>
    </xf>
    <xf numFmtId="0" fontId="51" fillId="0" borderId="8" xfId="0" applyFont="1" applyBorder="1" applyAlignment="1" applyProtection="1">
      <alignment horizontal="left" vertical="center" wrapText="1"/>
      <protection locked="0"/>
    </xf>
    <xf numFmtId="0" fontId="51" fillId="20" borderId="8" xfId="0" applyFont="1" applyFill="1" applyBorder="1" applyAlignment="1" applyProtection="1">
      <alignment horizontal="left" vertical="center" wrapText="1"/>
      <protection locked="0"/>
    </xf>
    <xf numFmtId="0" fontId="51" fillId="0" borderId="4" xfId="0" applyFont="1" applyBorder="1" applyAlignment="1">
      <alignment horizontal="left" vertical="center" wrapText="1" readingOrder="1"/>
    </xf>
    <xf numFmtId="0" fontId="51" fillId="13" borderId="4" xfId="0" applyFont="1" applyFill="1" applyBorder="1" applyAlignment="1">
      <alignment horizontal="left" vertical="center" wrapText="1" readingOrder="1"/>
    </xf>
    <xf numFmtId="0" fontId="21" fillId="11" borderId="0" xfId="0" applyFont="1" applyFill="1" applyAlignment="1" applyProtection="1">
      <alignment horizontal="left" vertical="center" wrapText="1"/>
      <protection locked="0"/>
    </xf>
    <xf numFmtId="0" fontId="6" fillId="0" borderId="5" xfId="0" applyFont="1" applyBorder="1" applyAlignment="1" applyProtection="1">
      <alignment horizontal="left" vertical="center" wrapText="1"/>
      <protection locked="0"/>
    </xf>
    <xf numFmtId="0" fontId="19" fillId="10" borderId="0" xfId="0" applyFont="1" applyFill="1" applyAlignment="1" applyProtection="1">
      <alignment horizontal="left" vertical="center" wrapText="1"/>
      <protection locked="0"/>
    </xf>
    <xf numFmtId="0" fontId="29" fillId="17" borderId="9" xfId="0" applyFont="1" applyFill="1" applyBorder="1" applyAlignment="1">
      <alignment horizontal="left" vertical="center" wrapText="1"/>
    </xf>
    <xf numFmtId="0" fontId="30" fillId="0" borderId="9" xfId="0" applyFont="1" applyBorder="1" applyAlignment="1">
      <alignment horizontal="left" vertical="center" wrapText="1"/>
    </xf>
    <xf numFmtId="0" fontId="32" fillId="17" borderId="9" xfId="0" applyFont="1" applyFill="1" applyBorder="1" applyAlignment="1">
      <alignment horizontal="left" vertical="center" wrapText="1"/>
    </xf>
    <xf numFmtId="0" fontId="31" fillId="0" borderId="9" xfId="0" applyFont="1" applyBorder="1" applyAlignment="1">
      <alignment horizontal="left" vertical="center" wrapText="1"/>
    </xf>
    <xf numFmtId="0" fontId="6" fillId="0" borderId="0" xfId="0" applyFont="1" applyAlignment="1" applyProtection="1">
      <alignment horizontal="left" vertical="center" wrapText="1"/>
      <protection locked="0"/>
    </xf>
    <xf numFmtId="0" fontId="4" fillId="23" borderId="12" xfId="0" applyFont="1" applyFill="1" applyBorder="1" applyAlignment="1" applyProtection="1">
      <alignment horizontal="center" vertical="center" readingOrder="1"/>
      <protection locked="0"/>
    </xf>
    <xf numFmtId="9" fontId="20" fillId="13" borderId="4" xfId="0" applyNumberFormat="1" applyFont="1" applyFill="1" applyBorder="1" applyAlignment="1" applyProtection="1">
      <alignment horizontal="left" vertical="center" wrapText="1" readingOrder="1"/>
      <protection locked="0"/>
    </xf>
    <xf numFmtId="9" fontId="18" fillId="0" borderId="4" xfId="0" applyNumberFormat="1" applyFont="1" applyBorder="1" applyAlignment="1" applyProtection="1">
      <alignment horizontal="left" vertical="center" wrapText="1" readingOrder="1"/>
      <protection locked="0"/>
    </xf>
    <xf numFmtId="0" fontId="2" fillId="0" borderId="0" xfId="0" applyFont="1" applyAlignment="1" applyProtection="1">
      <alignment horizontal="center" vertical="center" readingOrder="1"/>
      <protection locked="0"/>
    </xf>
    <xf numFmtId="9" fontId="19" fillId="2" borderId="0" xfId="0" applyNumberFormat="1" applyFont="1" applyFill="1" applyAlignment="1">
      <alignment horizontal="center" vertical="center"/>
    </xf>
    <xf numFmtId="0" fontId="19" fillId="9" borderId="0" xfId="0" applyFont="1" applyFill="1" applyAlignment="1">
      <alignment horizontal="center" vertical="center"/>
    </xf>
  </cellXfs>
  <cellStyles count="9">
    <cellStyle name="Followed Hyperlink" xfId="8" builtinId="9" hidden="1"/>
    <cellStyle name="Followed Hyperlink" xfId="6" builtinId="9" hidden="1"/>
    <cellStyle name="Followed Hyperlink" xfId="2" builtinId="9" hidden="1"/>
    <cellStyle name="Followed Hyperlink" xfId="4" builtinId="9" hidden="1"/>
    <cellStyle name="Hyperlink" xfId="7" builtinId="8" hidden="1"/>
    <cellStyle name="Hyperlink" xfId="5" builtinId="8" hidden="1"/>
    <cellStyle name="Hyperlink" xfId="1" builtinId="8" hidden="1"/>
    <cellStyle name="Hyperlink" xfId="3" builtinId="8" hidden="1"/>
    <cellStyle name="Normal" xfId="0" builtinId="0"/>
  </cellStyles>
  <dxfs count="399">
    <dxf>
      <font>
        <color theme="0"/>
      </font>
      <fill>
        <patternFill>
          <bgColor theme="4"/>
        </patternFill>
      </fill>
      <border>
        <left style="thin">
          <color theme="0"/>
        </left>
        <right style="thin">
          <color theme="0"/>
        </right>
        <top style="thin">
          <color theme="0"/>
        </top>
        <bottom style="thin">
          <color theme="0"/>
        </bottom>
        <vertical/>
        <horizontal/>
      </border>
    </dxf>
    <dxf>
      <font>
        <color theme="0"/>
      </font>
      <fill>
        <patternFill>
          <bgColor rgb="FF92D050"/>
        </patternFill>
      </fill>
      <border>
        <left style="thin">
          <color theme="0"/>
        </left>
        <right style="thin">
          <color theme="0"/>
        </right>
        <top style="thin">
          <color theme="0"/>
        </top>
        <bottom style="thin">
          <color theme="0"/>
        </bottom>
        <vertical/>
        <horizontal/>
      </border>
    </dxf>
    <dxf>
      <font>
        <color theme="0"/>
      </font>
      <fill>
        <patternFill>
          <bgColor rgb="FFA6A200"/>
        </patternFill>
      </fill>
    </dxf>
    <dxf>
      <font>
        <color theme="0"/>
      </font>
      <fill>
        <patternFill>
          <bgColor rgb="FFA6A200"/>
        </patternFill>
      </fill>
    </dxf>
    <dxf>
      <font>
        <color theme="0"/>
      </font>
      <fill>
        <patternFill>
          <bgColor rgb="FFA6A200"/>
        </patternFill>
      </fill>
    </dxf>
    <dxf>
      <font>
        <color theme="0"/>
      </font>
      <fill>
        <patternFill>
          <bgColor rgb="FFA6A200"/>
        </patternFill>
      </fill>
    </dxf>
    <dxf>
      <font>
        <color theme="0"/>
      </font>
      <fill>
        <patternFill>
          <bgColor rgb="FFA6A200"/>
        </patternFill>
      </fill>
    </dxf>
    <dxf>
      <font>
        <color theme="0"/>
      </font>
      <fill>
        <patternFill>
          <bgColor rgb="FFA6A200"/>
        </patternFill>
      </fill>
    </dxf>
    <dxf>
      <font>
        <color theme="0"/>
      </font>
      <fill>
        <patternFill>
          <bgColor rgb="FFA6A200"/>
        </patternFill>
      </fill>
    </dxf>
    <dxf>
      <font>
        <color theme="0"/>
      </font>
      <fill>
        <patternFill>
          <bgColor theme="6" tint="-0.499984740745262"/>
        </patternFill>
      </fill>
    </dxf>
    <dxf>
      <font>
        <color theme="0"/>
      </font>
      <fill>
        <patternFill>
          <bgColor rgb="FF0070C0"/>
        </patternFill>
      </fill>
    </dxf>
    <dxf>
      <font>
        <color theme="0"/>
      </font>
      <fill>
        <patternFill>
          <bgColor theme="9" tint="-0.24994659260841701"/>
        </patternFill>
      </fill>
    </dxf>
    <dxf>
      <font>
        <color theme="0"/>
      </font>
      <fill>
        <patternFill>
          <bgColor theme="9" tint="-0.499984740745262"/>
        </patternFill>
      </fill>
    </dxf>
    <dxf>
      <font>
        <color theme="0"/>
      </font>
      <fill>
        <patternFill>
          <bgColor rgb="FFC00000"/>
        </patternFill>
      </fill>
    </dxf>
    <dxf>
      <font>
        <color theme="0"/>
      </font>
      <fill>
        <patternFill>
          <bgColor rgb="FF0070C0"/>
        </patternFill>
      </fill>
    </dxf>
    <dxf>
      <font>
        <color theme="0"/>
      </font>
      <fill>
        <patternFill>
          <bgColor theme="6" tint="-0.499984740745262"/>
        </patternFill>
      </fill>
    </dxf>
    <dxf>
      <font>
        <color theme="0"/>
      </font>
      <fill>
        <patternFill>
          <bgColor theme="9" tint="-0.24994659260841701"/>
        </patternFill>
      </fill>
    </dxf>
    <dxf>
      <font>
        <color theme="0"/>
      </font>
      <fill>
        <patternFill>
          <bgColor theme="9" tint="-0.499984740745262"/>
        </patternFill>
      </fill>
    </dxf>
    <dxf>
      <font>
        <color theme="0"/>
      </font>
      <fill>
        <patternFill>
          <bgColor rgb="FFC00000"/>
        </patternFill>
      </fill>
    </dxf>
    <dxf>
      <font>
        <color theme="0"/>
      </font>
      <fill>
        <patternFill>
          <bgColor rgb="FFC00000"/>
        </patternFill>
      </fill>
    </dxf>
    <dxf>
      <font>
        <color theme="0"/>
      </font>
      <fill>
        <patternFill>
          <bgColor theme="6" tint="-0.499984740745262"/>
        </patternFill>
      </fill>
    </dxf>
    <dxf>
      <font>
        <color theme="0"/>
      </font>
      <fill>
        <patternFill>
          <bgColor theme="9" tint="-0.499984740745262"/>
        </patternFill>
      </fill>
    </dxf>
    <dxf>
      <font>
        <color theme="0"/>
      </font>
      <fill>
        <patternFill>
          <bgColor rgb="FF0070C0"/>
        </patternFill>
      </fill>
    </dxf>
    <dxf>
      <font>
        <color theme="0"/>
      </font>
      <fill>
        <patternFill>
          <bgColor theme="9" tint="-0.24994659260841701"/>
        </patternFill>
      </fill>
    </dxf>
    <dxf>
      <font>
        <color theme="0"/>
      </font>
      <fill>
        <patternFill>
          <bgColor rgb="FF0070C0"/>
        </patternFill>
      </fill>
    </dxf>
    <dxf>
      <font>
        <color theme="0"/>
      </font>
      <fill>
        <patternFill>
          <bgColor rgb="FFC00000"/>
        </patternFill>
      </fill>
    </dxf>
    <dxf>
      <font>
        <color theme="0"/>
      </font>
      <fill>
        <patternFill>
          <bgColor theme="9" tint="-0.499984740745262"/>
        </patternFill>
      </fill>
    </dxf>
    <dxf>
      <font>
        <color theme="0"/>
      </font>
      <fill>
        <patternFill>
          <bgColor theme="6" tint="-0.499984740745262"/>
        </patternFill>
      </fill>
    </dxf>
    <dxf>
      <font>
        <color theme="0"/>
      </font>
      <fill>
        <patternFill>
          <bgColor theme="9" tint="-0.24994659260841701"/>
        </patternFill>
      </fill>
    </dxf>
    <dxf>
      <font>
        <color theme="0"/>
      </font>
      <fill>
        <patternFill>
          <bgColor rgb="FF0070C0"/>
        </patternFill>
      </fill>
    </dxf>
    <dxf>
      <font>
        <color theme="0"/>
      </font>
      <fill>
        <patternFill>
          <bgColor theme="6" tint="-0.499984740745262"/>
        </patternFill>
      </fill>
    </dxf>
    <dxf>
      <font>
        <color theme="0"/>
      </font>
      <fill>
        <patternFill>
          <bgColor theme="9" tint="-0.24994659260841701"/>
        </patternFill>
      </fill>
    </dxf>
    <dxf>
      <font>
        <color theme="0"/>
      </font>
      <fill>
        <patternFill>
          <bgColor theme="9" tint="-0.499984740745262"/>
        </patternFill>
      </fill>
    </dxf>
    <dxf>
      <font>
        <color theme="0"/>
      </font>
      <fill>
        <patternFill>
          <bgColor rgb="FFC00000"/>
        </patternFill>
      </fill>
    </dxf>
    <dxf>
      <font>
        <color theme="0"/>
      </font>
      <fill>
        <patternFill>
          <bgColor rgb="FF0070C0"/>
        </patternFill>
      </fill>
    </dxf>
    <dxf>
      <font>
        <color theme="0"/>
      </font>
      <fill>
        <patternFill>
          <bgColor theme="6" tint="-0.499984740745262"/>
        </patternFill>
      </fill>
    </dxf>
    <dxf>
      <font>
        <color theme="0"/>
      </font>
      <fill>
        <patternFill>
          <bgColor theme="9" tint="-0.24994659260841701"/>
        </patternFill>
      </fill>
    </dxf>
    <dxf>
      <font>
        <color theme="0"/>
      </font>
      <fill>
        <patternFill>
          <bgColor theme="9" tint="-0.499984740745262"/>
        </patternFill>
      </fill>
    </dxf>
    <dxf>
      <font>
        <color theme="0"/>
      </font>
      <fill>
        <patternFill>
          <bgColor rgb="FFC00000"/>
        </patternFill>
      </fill>
    </dxf>
    <dxf>
      <font>
        <color theme="0"/>
      </font>
      <fill>
        <patternFill>
          <bgColor theme="9" tint="-0.499984740745262"/>
        </patternFill>
      </fill>
    </dxf>
    <dxf>
      <font>
        <color theme="0"/>
      </font>
      <fill>
        <patternFill>
          <bgColor theme="9" tint="-0.24994659260841701"/>
        </patternFill>
      </fill>
    </dxf>
    <dxf>
      <font>
        <color theme="0"/>
      </font>
      <fill>
        <patternFill>
          <bgColor rgb="FFC00000"/>
        </patternFill>
      </fill>
    </dxf>
    <dxf>
      <font>
        <color theme="0"/>
      </font>
      <fill>
        <patternFill>
          <bgColor rgb="FF0070C0"/>
        </patternFill>
      </fill>
    </dxf>
    <dxf>
      <font>
        <color theme="0"/>
      </font>
      <fill>
        <patternFill>
          <bgColor theme="6" tint="-0.499984740745262"/>
        </patternFill>
      </fill>
    </dxf>
    <dxf>
      <font>
        <color theme="0"/>
      </font>
      <fill>
        <patternFill>
          <bgColor rgb="FFB4B000"/>
        </patternFill>
      </fill>
    </dxf>
    <dxf>
      <font>
        <color theme="0"/>
      </font>
      <fill>
        <patternFill>
          <bgColor rgb="FFB4B000"/>
        </patternFill>
      </fill>
    </dxf>
    <dxf>
      <font>
        <color theme="0"/>
      </font>
      <fill>
        <patternFill>
          <bgColor rgb="FFB4B000"/>
        </patternFill>
      </fill>
    </dxf>
    <dxf>
      <font>
        <color theme="0"/>
      </font>
      <fill>
        <patternFill>
          <bgColor rgb="FFB4B000"/>
        </patternFill>
      </fill>
    </dxf>
    <dxf>
      <font>
        <color theme="0"/>
      </font>
      <fill>
        <patternFill>
          <bgColor rgb="FFB4B000"/>
        </patternFill>
      </fill>
    </dxf>
    <dxf>
      <font>
        <color theme="0"/>
      </font>
      <fill>
        <patternFill>
          <bgColor rgb="FFB4B000"/>
        </patternFill>
      </fill>
    </dxf>
    <dxf>
      <font>
        <color theme="0"/>
      </font>
      <fill>
        <patternFill>
          <bgColor rgb="FFB4B000"/>
        </patternFill>
      </fill>
    </dxf>
    <dxf>
      <font>
        <color theme="0"/>
      </font>
      <fill>
        <patternFill>
          <bgColor rgb="FF00B050"/>
        </patternFill>
      </fill>
    </dxf>
    <dxf>
      <font>
        <color theme="0"/>
      </font>
      <fill>
        <patternFill>
          <bgColor rgb="FF0070C0"/>
        </patternFill>
      </fill>
    </dxf>
    <dxf>
      <font>
        <color theme="0"/>
      </font>
      <fill>
        <patternFill>
          <bgColor rgb="FFC0BC00"/>
        </patternFill>
      </fill>
    </dxf>
    <dxf>
      <font>
        <color theme="0"/>
      </font>
      <fill>
        <patternFill>
          <bgColor theme="9" tint="-0.24994659260841701"/>
        </patternFill>
      </fill>
    </dxf>
    <dxf>
      <font>
        <color theme="0"/>
      </font>
      <fill>
        <patternFill>
          <bgColor rgb="FFC00000"/>
        </patternFill>
      </fill>
    </dxf>
    <dxf>
      <font>
        <color theme="0"/>
      </font>
      <fill>
        <patternFill>
          <bgColor rgb="FFFF0000"/>
        </patternFill>
      </fill>
    </dxf>
    <dxf>
      <font>
        <color theme="0"/>
      </font>
      <fill>
        <patternFill>
          <bgColor rgb="FFFF0000"/>
        </patternFill>
      </fill>
    </dxf>
    <dxf>
      <font>
        <color theme="0"/>
      </font>
      <fill>
        <patternFill>
          <bgColor rgb="FF00B050"/>
        </patternFill>
      </fill>
    </dxf>
    <dxf>
      <font>
        <color theme="0"/>
      </font>
      <fill>
        <patternFill>
          <bgColor rgb="FF0070C0"/>
        </patternFill>
      </fill>
    </dxf>
    <dxf>
      <font>
        <color theme="0"/>
      </font>
      <fill>
        <patternFill>
          <bgColor rgb="FFC0BC00"/>
        </patternFill>
      </fill>
    </dxf>
    <dxf>
      <font>
        <color theme="0"/>
      </font>
      <fill>
        <patternFill>
          <bgColor theme="9" tint="-0.24994659260841701"/>
        </patternFill>
      </fill>
    </dxf>
    <dxf>
      <font>
        <color theme="0"/>
      </font>
      <fill>
        <patternFill>
          <bgColor rgb="FFC00000"/>
        </patternFill>
      </fill>
    </dxf>
    <dxf>
      <font>
        <color theme="0"/>
      </font>
      <fill>
        <patternFill>
          <bgColor theme="9" tint="-0.24994659260841701"/>
        </patternFill>
      </fill>
    </dxf>
    <dxf>
      <font>
        <color theme="0"/>
      </font>
      <fill>
        <patternFill>
          <bgColor rgb="FFC00000"/>
        </patternFill>
      </fill>
    </dxf>
    <dxf>
      <font>
        <color theme="0"/>
      </font>
      <fill>
        <patternFill>
          <bgColor rgb="FFFF0000"/>
        </patternFill>
      </fill>
    </dxf>
    <dxf>
      <font>
        <color theme="0"/>
      </font>
      <fill>
        <patternFill>
          <bgColor rgb="FF0070C0"/>
        </patternFill>
      </fill>
    </dxf>
    <dxf>
      <font>
        <color theme="0"/>
      </font>
      <fill>
        <patternFill>
          <bgColor rgb="FFC0BC00"/>
        </patternFill>
      </fill>
    </dxf>
    <dxf>
      <font>
        <color theme="0"/>
      </font>
      <fill>
        <patternFill>
          <bgColor rgb="FF00B050"/>
        </patternFill>
      </fill>
    </dxf>
    <dxf>
      <font>
        <color theme="0"/>
      </font>
      <fill>
        <patternFill>
          <bgColor rgb="FF0070C0"/>
        </patternFill>
      </fill>
    </dxf>
    <dxf>
      <font>
        <color theme="0"/>
      </font>
      <fill>
        <patternFill>
          <bgColor rgb="FFC0BC00"/>
        </patternFill>
      </fill>
    </dxf>
    <dxf>
      <font>
        <color theme="0"/>
      </font>
      <fill>
        <patternFill>
          <bgColor theme="9" tint="-0.24994659260841701"/>
        </patternFill>
      </fill>
    </dxf>
    <dxf>
      <font>
        <color theme="0"/>
      </font>
      <fill>
        <patternFill>
          <bgColor rgb="FFC00000"/>
        </patternFill>
      </fill>
    </dxf>
    <dxf>
      <font>
        <color theme="0"/>
      </font>
      <fill>
        <patternFill>
          <bgColor rgb="FFFF0000"/>
        </patternFill>
      </fill>
    </dxf>
    <dxf>
      <font>
        <color theme="0"/>
      </font>
      <fill>
        <patternFill>
          <bgColor rgb="FF00B050"/>
        </patternFill>
      </fill>
    </dxf>
    <dxf>
      <font>
        <color theme="0"/>
      </font>
      <fill>
        <patternFill>
          <bgColor rgb="FF0070C0"/>
        </patternFill>
      </fill>
    </dxf>
    <dxf>
      <font>
        <color theme="0"/>
      </font>
      <fill>
        <patternFill>
          <bgColor rgb="FFC0BC00"/>
        </patternFill>
      </fill>
    </dxf>
    <dxf>
      <font>
        <color theme="0"/>
      </font>
      <fill>
        <patternFill>
          <bgColor theme="9" tint="-0.24994659260841701"/>
        </patternFill>
      </fill>
    </dxf>
    <dxf>
      <font>
        <color theme="0"/>
      </font>
      <fill>
        <patternFill>
          <bgColor rgb="FFC00000"/>
        </patternFill>
      </fill>
    </dxf>
    <dxf>
      <font>
        <color theme="0"/>
      </font>
      <fill>
        <patternFill>
          <bgColor rgb="FFFF0000"/>
        </patternFill>
      </fill>
    </dxf>
    <dxf>
      <font>
        <color theme="0"/>
      </font>
      <fill>
        <patternFill>
          <bgColor rgb="FF00B050"/>
        </patternFill>
      </fill>
    </dxf>
    <dxf>
      <font>
        <color theme="0"/>
      </font>
      <fill>
        <patternFill>
          <bgColor rgb="FF00B050"/>
        </patternFill>
      </fill>
    </dxf>
    <dxf>
      <font>
        <color theme="0"/>
      </font>
      <fill>
        <patternFill>
          <bgColor rgb="FF0070C0"/>
        </patternFill>
      </fill>
    </dxf>
    <dxf>
      <font>
        <color theme="0"/>
      </font>
      <fill>
        <patternFill>
          <bgColor rgb="FFC0BC00"/>
        </patternFill>
      </fill>
    </dxf>
    <dxf>
      <font>
        <color theme="0"/>
      </font>
      <fill>
        <patternFill>
          <bgColor theme="9" tint="-0.24994659260841701"/>
        </patternFill>
      </fill>
    </dxf>
    <dxf>
      <font>
        <color theme="0"/>
      </font>
      <fill>
        <patternFill>
          <bgColor rgb="FFC00000"/>
        </patternFill>
      </fill>
    </dxf>
    <dxf>
      <font>
        <color theme="0"/>
      </font>
      <fill>
        <patternFill>
          <bgColor rgb="FFFF0000"/>
        </patternFill>
      </fill>
    </dxf>
    <dxf>
      <font>
        <color theme="0"/>
      </font>
      <fill>
        <patternFill>
          <bgColor rgb="FF00B050"/>
        </patternFill>
      </fill>
    </dxf>
    <dxf>
      <font>
        <color theme="0"/>
      </font>
      <fill>
        <patternFill>
          <bgColor rgb="FF0070C0"/>
        </patternFill>
      </fill>
    </dxf>
    <dxf>
      <font>
        <color theme="0"/>
      </font>
      <fill>
        <patternFill>
          <bgColor rgb="FFC0BC00"/>
        </patternFill>
      </fill>
    </dxf>
    <dxf>
      <font>
        <color theme="0"/>
      </font>
      <fill>
        <patternFill>
          <bgColor theme="9" tint="-0.24994659260841701"/>
        </patternFill>
      </fill>
    </dxf>
    <dxf>
      <font>
        <color theme="0"/>
      </font>
      <fill>
        <patternFill>
          <bgColor rgb="FFC00000"/>
        </patternFill>
      </fill>
    </dxf>
    <dxf>
      <font>
        <color theme="0"/>
      </font>
      <fill>
        <patternFill>
          <bgColor rgb="FFFF0000"/>
        </patternFill>
      </fill>
    </dxf>
    <dxf>
      <font>
        <color theme="0"/>
      </font>
      <fill>
        <patternFill>
          <bgColor rgb="FFA6A200"/>
        </patternFill>
      </fill>
    </dxf>
    <dxf>
      <font>
        <color theme="0"/>
      </font>
      <fill>
        <patternFill>
          <bgColor rgb="FFA6A200"/>
        </patternFill>
      </fill>
    </dxf>
    <dxf>
      <font>
        <color theme="0"/>
      </font>
      <fill>
        <patternFill>
          <bgColor rgb="FFA6A200"/>
        </patternFill>
      </fill>
    </dxf>
    <dxf>
      <font>
        <color theme="0"/>
      </font>
      <fill>
        <patternFill>
          <bgColor rgb="FFA6A200"/>
        </patternFill>
      </fill>
    </dxf>
    <dxf>
      <font>
        <color theme="0"/>
      </font>
      <fill>
        <patternFill>
          <bgColor rgb="FFA6A200"/>
        </patternFill>
      </fill>
    </dxf>
    <dxf>
      <font>
        <color theme="0"/>
      </font>
      <fill>
        <patternFill>
          <bgColor rgb="FFA6A200"/>
        </patternFill>
      </fill>
    </dxf>
    <dxf>
      <font>
        <color theme="0"/>
      </font>
      <fill>
        <patternFill>
          <bgColor rgb="FF0070C0"/>
        </patternFill>
      </fill>
    </dxf>
    <dxf>
      <font>
        <color theme="0"/>
      </font>
      <fill>
        <patternFill>
          <bgColor theme="9" tint="-0.24994659260841701"/>
        </patternFill>
      </fill>
    </dxf>
    <dxf>
      <font>
        <color theme="0"/>
      </font>
      <fill>
        <patternFill>
          <bgColor theme="9" tint="-0.499984740745262"/>
        </patternFill>
      </fill>
    </dxf>
    <dxf>
      <font>
        <color theme="0"/>
      </font>
      <fill>
        <patternFill>
          <bgColor rgb="FFC00000"/>
        </patternFill>
      </fill>
    </dxf>
    <dxf>
      <font>
        <color theme="0"/>
      </font>
      <fill>
        <patternFill>
          <bgColor theme="6" tint="-0.499984740745262"/>
        </patternFill>
      </fill>
    </dxf>
    <dxf>
      <font>
        <color theme="0"/>
      </font>
      <fill>
        <patternFill>
          <bgColor rgb="FF0070C0"/>
        </patternFill>
      </fill>
    </dxf>
    <dxf>
      <font>
        <color theme="0"/>
      </font>
      <fill>
        <patternFill>
          <bgColor theme="6" tint="-0.499984740745262"/>
        </patternFill>
      </fill>
    </dxf>
    <dxf>
      <font>
        <color theme="0"/>
      </font>
      <fill>
        <patternFill>
          <bgColor theme="9" tint="-0.24994659260841701"/>
        </patternFill>
      </fill>
    </dxf>
    <dxf>
      <font>
        <color theme="0"/>
      </font>
      <fill>
        <patternFill>
          <bgColor theme="9" tint="-0.499984740745262"/>
        </patternFill>
      </fill>
    </dxf>
    <dxf>
      <font>
        <color theme="0"/>
      </font>
      <fill>
        <patternFill>
          <bgColor rgb="FFC00000"/>
        </patternFill>
      </fill>
    </dxf>
    <dxf>
      <font>
        <color theme="0"/>
      </font>
      <fill>
        <patternFill>
          <bgColor theme="9" tint="-0.499984740745262"/>
        </patternFill>
      </fill>
    </dxf>
    <dxf>
      <font>
        <color theme="0"/>
      </font>
      <fill>
        <patternFill>
          <bgColor rgb="FFC00000"/>
        </patternFill>
      </fill>
    </dxf>
    <dxf>
      <font>
        <color theme="0"/>
      </font>
      <fill>
        <patternFill>
          <bgColor theme="9" tint="-0.24994659260841701"/>
        </patternFill>
      </fill>
    </dxf>
    <dxf>
      <font>
        <color theme="0"/>
      </font>
      <fill>
        <patternFill>
          <bgColor theme="6" tint="-0.499984740745262"/>
        </patternFill>
      </fill>
    </dxf>
    <dxf>
      <font>
        <color theme="0"/>
      </font>
      <fill>
        <patternFill>
          <bgColor rgb="FF0070C0"/>
        </patternFill>
      </fill>
    </dxf>
    <dxf>
      <font>
        <color theme="0"/>
      </font>
      <fill>
        <patternFill>
          <bgColor rgb="FFC00000"/>
        </patternFill>
      </fill>
    </dxf>
    <dxf>
      <font>
        <color theme="0"/>
      </font>
      <fill>
        <patternFill>
          <bgColor theme="9" tint="-0.499984740745262"/>
        </patternFill>
      </fill>
    </dxf>
    <dxf>
      <font>
        <color theme="0"/>
      </font>
      <fill>
        <patternFill>
          <bgColor theme="9" tint="-0.24994659260841701"/>
        </patternFill>
      </fill>
    </dxf>
    <dxf>
      <font>
        <color theme="0"/>
      </font>
      <fill>
        <patternFill>
          <bgColor theme="6" tint="-0.499984740745262"/>
        </patternFill>
      </fill>
    </dxf>
    <dxf>
      <font>
        <color theme="0"/>
      </font>
      <fill>
        <patternFill>
          <bgColor rgb="FF0070C0"/>
        </patternFill>
      </fill>
    </dxf>
    <dxf>
      <font>
        <color theme="0"/>
      </font>
      <fill>
        <patternFill>
          <bgColor theme="6" tint="-0.499984740745262"/>
        </patternFill>
      </fill>
    </dxf>
    <dxf>
      <font>
        <color theme="0"/>
      </font>
      <fill>
        <patternFill>
          <bgColor rgb="FF0070C0"/>
        </patternFill>
      </fill>
    </dxf>
    <dxf>
      <font>
        <color theme="0"/>
      </font>
      <fill>
        <patternFill>
          <bgColor theme="9" tint="-0.499984740745262"/>
        </patternFill>
      </fill>
    </dxf>
    <dxf>
      <font>
        <color theme="0"/>
      </font>
      <fill>
        <patternFill>
          <bgColor rgb="FFC00000"/>
        </patternFill>
      </fill>
    </dxf>
    <dxf>
      <font>
        <color theme="0"/>
      </font>
      <fill>
        <patternFill>
          <bgColor theme="9" tint="-0.24994659260841701"/>
        </patternFill>
      </fill>
    </dxf>
    <dxf>
      <font>
        <color theme="0"/>
      </font>
      <fill>
        <patternFill>
          <bgColor theme="9" tint="-0.499984740745262"/>
        </patternFill>
      </fill>
    </dxf>
    <dxf>
      <font>
        <color theme="0"/>
      </font>
      <fill>
        <patternFill>
          <bgColor theme="9" tint="-0.24994659260841701"/>
        </patternFill>
      </fill>
    </dxf>
    <dxf>
      <font>
        <color theme="0"/>
      </font>
      <fill>
        <patternFill>
          <bgColor theme="6" tint="-0.499984740745262"/>
        </patternFill>
      </fill>
    </dxf>
    <dxf>
      <font>
        <color theme="0"/>
      </font>
      <fill>
        <patternFill>
          <bgColor rgb="FFC00000"/>
        </patternFill>
      </fill>
    </dxf>
    <dxf>
      <font>
        <color theme="0"/>
      </font>
      <fill>
        <patternFill>
          <bgColor rgb="FF0070C0"/>
        </patternFill>
      </fill>
    </dxf>
    <dxf>
      <font>
        <color theme="0"/>
      </font>
      <fill>
        <patternFill>
          <bgColor rgb="FFB4B000"/>
        </patternFill>
      </fill>
    </dxf>
    <dxf>
      <font>
        <color theme="0"/>
      </font>
      <fill>
        <patternFill>
          <bgColor rgb="FFC00000"/>
        </patternFill>
      </fill>
    </dxf>
    <dxf>
      <font>
        <color theme="0"/>
      </font>
      <fill>
        <patternFill>
          <bgColor theme="9" tint="-0.499984740745262"/>
        </patternFill>
      </fill>
    </dxf>
    <dxf>
      <font>
        <color theme="0"/>
      </font>
      <fill>
        <patternFill>
          <bgColor theme="9" tint="-0.24994659260841701"/>
        </patternFill>
      </fill>
    </dxf>
    <dxf>
      <font>
        <color theme="0"/>
      </font>
      <fill>
        <patternFill>
          <bgColor theme="6" tint="-0.499984740745262"/>
        </patternFill>
      </fill>
    </dxf>
    <dxf>
      <font>
        <color theme="0"/>
      </font>
      <fill>
        <patternFill>
          <bgColor rgb="FF0070C0"/>
        </patternFill>
      </fill>
    </dxf>
    <dxf>
      <font>
        <color theme="0"/>
      </font>
      <fill>
        <patternFill>
          <bgColor rgb="FF0070C0"/>
        </patternFill>
      </fill>
    </dxf>
    <dxf>
      <font>
        <color theme="0"/>
      </font>
      <fill>
        <patternFill>
          <bgColor theme="6" tint="-0.499984740745262"/>
        </patternFill>
      </fill>
    </dxf>
    <dxf>
      <font>
        <color theme="0"/>
      </font>
      <fill>
        <patternFill>
          <bgColor rgb="FFB4B000"/>
        </patternFill>
      </fill>
    </dxf>
    <dxf>
      <font>
        <color theme="0"/>
      </font>
      <fill>
        <patternFill>
          <bgColor theme="9" tint="-0.24994659260841701"/>
        </patternFill>
      </fill>
    </dxf>
    <dxf>
      <font>
        <color theme="0"/>
      </font>
      <fill>
        <patternFill>
          <bgColor theme="9" tint="-0.499984740745262"/>
        </patternFill>
      </fill>
    </dxf>
    <dxf>
      <font>
        <color theme="0"/>
      </font>
      <fill>
        <patternFill>
          <bgColor rgb="FFC00000"/>
        </patternFill>
      </fill>
    </dxf>
    <dxf>
      <font>
        <color theme="0"/>
      </font>
      <fill>
        <patternFill>
          <bgColor rgb="FFB4B000"/>
        </patternFill>
      </fill>
    </dxf>
    <dxf>
      <font>
        <color theme="0"/>
      </font>
      <fill>
        <patternFill>
          <bgColor rgb="FFB4B000"/>
        </patternFill>
      </fill>
    </dxf>
    <dxf>
      <font>
        <color theme="0"/>
      </font>
      <fill>
        <patternFill>
          <bgColor rgb="FFB4B000"/>
        </patternFill>
      </fill>
    </dxf>
    <dxf>
      <font>
        <color theme="0"/>
      </font>
      <fill>
        <patternFill>
          <bgColor rgb="FFB4B000"/>
        </patternFill>
      </fill>
    </dxf>
    <dxf>
      <font>
        <color theme="0"/>
      </font>
      <fill>
        <patternFill>
          <bgColor rgb="FFB4B000"/>
        </patternFill>
      </fill>
    </dxf>
    <dxf>
      <font>
        <color theme="0"/>
      </font>
      <fill>
        <patternFill>
          <bgColor rgb="FFB4B000"/>
        </patternFill>
      </fill>
    </dxf>
    <dxf>
      <font>
        <color theme="0"/>
      </font>
      <fill>
        <patternFill>
          <bgColor rgb="FF00B050"/>
        </patternFill>
      </fill>
    </dxf>
    <dxf>
      <font>
        <color theme="0"/>
      </font>
      <fill>
        <patternFill>
          <bgColor rgb="FF0070C0"/>
        </patternFill>
      </fill>
    </dxf>
    <dxf>
      <font>
        <color theme="0"/>
      </font>
      <fill>
        <patternFill>
          <bgColor rgb="FFC0BC00"/>
        </patternFill>
      </fill>
    </dxf>
    <dxf>
      <font>
        <color theme="0"/>
      </font>
      <fill>
        <patternFill>
          <bgColor theme="9" tint="-0.24994659260841701"/>
        </patternFill>
      </fill>
    </dxf>
    <dxf>
      <font>
        <color theme="0"/>
      </font>
      <fill>
        <patternFill>
          <bgColor rgb="FFC00000"/>
        </patternFill>
      </fill>
    </dxf>
    <dxf>
      <font>
        <color theme="0"/>
      </font>
      <fill>
        <patternFill>
          <bgColor rgb="FFFF0000"/>
        </patternFill>
      </fill>
    </dxf>
    <dxf>
      <font>
        <color theme="0"/>
      </font>
      <fill>
        <patternFill>
          <bgColor rgb="FF00B050"/>
        </patternFill>
      </fill>
    </dxf>
    <dxf>
      <font>
        <color theme="0"/>
      </font>
      <fill>
        <patternFill>
          <bgColor rgb="FF0070C0"/>
        </patternFill>
      </fill>
    </dxf>
    <dxf>
      <font>
        <color theme="0"/>
      </font>
      <fill>
        <patternFill>
          <bgColor rgb="FFC0BC00"/>
        </patternFill>
      </fill>
    </dxf>
    <dxf>
      <font>
        <color theme="0"/>
      </font>
      <fill>
        <patternFill>
          <bgColor theme="9" tint="-0.24994659260841701"/>
        </patternFill>
      </fill>
    </dxf>
    <dxf>
      <font>
        <color theme="0"/>
      </font>
      <fill>
        <patternFill>
          <bgColor rgb="FFC00000"/>
        </patternFill>
      </fill>
    </dxf>
    <dxf>
      <font>
        <color theme="0"/>
      </font>
      <fill>
        <patternFill>
          <bgColor rgb="FFFF0000"/>
        </patternFill>
      </fill>
    </dxf>
    <dxf>
      <font>
        <color theme="0"/>
      </font>
      <fill>
        <patternFill>
          <bgColor rgb="FF00B050"/>
        </patternFill>
      </fill>
    </dxf>
    <dxf>
      <font>
        <color theme="0"/>
      </font>
      <fill>
        <patternFill>
          <bgColor rgb="FF0070C0"/>
        </patternFill>
      </fill>
    </dxf>
    <dxf>
      <font>
        <color theme="0"/>
      </font>
      <fill>
        <patternFill>
          <bgColor rgb="FFC0BC00"/>
        </patternFill>
      </fill>
    </dxf>
    <dxf>
      <font>
        <color theme="0"/>
      </font>
      <fill>
        <patternFill>
          <bgColor theme="9" tint="-0.24994659260841701"/>
        </patternFill>
      </fill>
    </dxf>
    <dxf>
      <font>
        <color theme="0"/>
      </font>
      <fill>
        <patternFill>
          <bgColor rgb="FFC00000"/>
        </patternFill>
      </fill>
    </dxf>
    <dxf>
      <font>
        <color theme="0"/>
      </font>
      <fill>
        <patternFill>
          <bgColor rgb="FFFF0000"/>
        </patternFill>
      </fill>
    </dxf>
    <dxf>
      <font>
        <color theme="0"/>
      </font>
      <fill>
        <patternFill>
          <bgColor rgb="FF00B050"/>
        </patternFill>
      </fill>
    </dxf>
    <dxf>
      <font>
        <color theme="0"/>
      </font>
      <fill>
        <patternFill>
          <bgColor rgb="FF0070C0"/>
        </patternFill>
      </fill>
    </dxf>
    <dxf>
      <font>
        <color theme="0"/>
      </font>
      <fill>
        <patternFill>
          <bgColor rgb="FFC0BC00"/>
        </patternFill>
      </fill>
    </dxf>
    <dxf>
      <font>
        <color theme="0"/>
      </font>
      <fill>
        <patternFill>
          <bgColor theme="9" tint="-0.24994659260841701"/>
        </patternFill>
      </fill>
    </dxf>
    <dxf>
      <font>
        <color theme="0"/>
      </font>
      <fill>
        <patternFill>
          <bgColor rgb="FFC00000"/>
        </patternFill>
      </fill>
    </dxf>
    <dxf>
      <font>
        <color theme="0"/>
      </font>
      <fill>
        <patternFill>
          <bgColor rgb="FFFF0000"/>
        </patternFill>
      </fill>
    </dxf>
    <dxf>
      <font>
        <color theme="0"/>
      </font>
      <fill>
        <patternFill>
          <bgColor rgb="FF0070C0"/>
        </patternFill>
      </fill>
    </dxf>
    <dxf>
      <font>
        <color theme="0"/>
      </font>
      <fill>
        <patternFill>
          <bgColor rgb="FFC0BC00"/>
        </patternFill>
      </fill>
    </dxf>
    <dxf>
      <font>
        <color theme="0"/>
      </font>
      <fill>
        <patternFill>
          <bgColor theme="9" tint="-0.24994659260841701"/>
        </patternFill>
      </fill>
    </dxf>
    <dxf>
      <font>
        <color theme="0"/>
      </font>
      <fill>
        <patternFill>
          <bgColor rgb="FFC00000"/>
        </patternFill>
      </fill>
    </dxf>
    <dxf>
      <font>
        <color theme="0"/>
      </font>
      <fill>
        <patternFill>
          <bgColor rgb="FFFF0000"/>
        </patternFill>
      </fill>
    </dxf>
    <dxf>
      <font>
        <color theme="0"/>
      </font>
      <fill>
        <patternFill>
          <bgColor rgb="FF00B050"/>
        </patternFill>
      </fill>
    </dxf>
    <dxf>
      <font>
        <color theme="0"/>
      </font>
      <fill>
        <patternFill>
          <bgColor rgb="FFC00000"/>
        </patternFill>
      </fill>
    </dxf>
    <dxf>
      <font>
        <color theme="0"/>
      </font>
      <fill>
        <patternFill>
          <bgColor theme="9" tint="-0.24994659260841701"/>
        </patternFill>
      </fill>
    </dxf>
    <dxf>
      <font>
        <color theme="0"/>
      </font>
      <fill>
        <patternFill>
          <bgColor rgb="FFC0BC00"/>
        </patternFill>
      </fill>
    </dxf>
    <dxf>
      <font>
        <color theme="0"/>
      </font>
      <fill>
        <patternFill>
          <bgColor rgb="FF0070C0"/>
        </patternFill>
      </fill>
    </dxf>
    <dxf>
      <font>
        <color theme="0"/>
      </font>
      <fill>
        <patternFill>
          <bgColor rgb="FF00B050"/>
        </patternFill>
      </fill>
    </dxf>
    <dxf>
      <font>
        <color theme="0"/>
      </font>
      <fill>
        <patternFill>
          <bgColor rgb="FFFF0000"/>
        </patternFill>
      </fill>
    </dxf>
    <dxf>
      <font>
        <color theme="0"/>
      </font>
      <fill>
        <patternFill>
          <bgColor rgb="FF00B050"/>
        </patternFill>
      </fill>
    </dxf>
    <dxf>
      <font>
        <color theme="0"/>
      </font>
      <fill>
        <patternFill>
          <bgColor rgb="FF0070C0"/>
        </patternFill>
      </fill>
    </dxf>
    <dxf>
      <font>
        <color theme="0"/>
      </font>
      <fill>
        <patternFill>
          <bgColor rgb="FFC0BC00"/>
        </patternFill>
      </fill>
    </dxf>
    <dxf>
      <font>
        <color theme="0"/>
      </font>
      <fill>
        <patternFill>
          <bgColor theme="9" tint="-0.24994659260841701"/>
        </patternFill>
      </fill>
    </dxf>
    <dxf>
      <font>
        <color theme="0"/>
      </font>
      <fill>
        <patternFill>
          <bgColor rgb="FFC00000"/>
        </patternFill>
      </fill>
    </dxf>
    <dxf>
      <font>
        <color theme="0"/>
      </font>
      <fill>
        <patternFill>
          <bgColor rgb="FFFF0000"/>
        </patternFill>
      </fill>
    </dxf>
    <dxf>
      <font>
        <color theme="0"/>
      </font>
      <fill>
        <patternFill>
          <bgColor theme="9" tint="-0.499984740745262"/>
        </patternFill>
      </fill>
    </dxf>
    <dxf>
      <font>
        <color theme="0"/>
      </font>
      <fill>
        <patternFill>
          <bgColor rgb="FF0070C0"/>
        </patternFill>
      </fill>
    </dxf>
    <dxf>
      <font>
        <color theme="0"/>
      </font>
      <fill>
        <patternFill>
          <bgColor theme="6" tint="-0.499984740745262"/>
        </patternFill>
      </fill>
    </dxf>
    <dxf>
      <font>
        <color theme="0"/>
      </font>
      <fill>
        <patternFill>
          <bgColor rgb="FFA6A200"/>
        </patternFill>
      </fill>
    </dxf>
    <dxf>
      <font>
        <color theme="0"/>
      </font>
      <fill>
        <patternFill>
          <bgColor theme="9" tint="-0.24994659260841701"/>
        </patternFill>
      </fill>
    </dxf>
    <dxf>
      <font>
        <color theme="0"/>
      </font>
      <fill>
        <patternFill>
          <bgColor rgb="FFC00000"/>
        </patternFill>
      </fill>
    </dxf>
    <dxf>
      <font>
        <color theme="0"/>
      </font>
      <fill>
        <patternFill>
          <bgColor rgb="FFC00000"/>
        </patternFill>
      </fill>
    </dxf>
    <dxf>
      <font>
        <color theme="0"/>
      </font>
      <fill>
        <patternFill>
          <bgColor theme="9" tint="-0.499984740745262"/>
        </patternFill>
      </fill>
    </dxf>
    <dxf>
      <font>
        <color theme="0"/>
      </font>
      <fill>
        <patternFill>
          <bgColor theme="9" tint="-0.24994659260841701"/>
        </patternFill>
      </fill>
    </dxf>
    <dxf>
      <font>
        <color theme="0"/>
      </font>
      <fill>
        <patternFill>
          <bgColor rgb="FFA6A200"/>
        </patternFill>
      </fill>
    </dxf>
    <dxf>
      <font>
        <color theme="0"/>
      </font>
      <fill>
        <patternFill>
          <bgColor theme="6" tint="-0.499984740745262"/>
        </patternFill>
      </fill>
    </dxf>
    <dxf>
      <font>
        <color theme="0"/>
      </font>
      <fill>
        <patternFill>
          <bgColor rgb="FF0070C0"/>
        </patternFill>
      </fill>
    </dxf>
    <dxf>
      <font>
        <color theme="0"/>
      </font>
      <fill>
        <patternFill>
          <bgColor rgb="FF0070C0"/>
        </patternFill>
      </fill>
    </dxf>
    <dxf>
      <font>
        <color theme="0"/>
      </font>
      <fill>
        <patternFill>
          <bgColor theme="6" tint="-0.499984740745262"/>
        </patternFill>
      </fill>
    </dxf>
    <dxf>
      <font>
        <color theme="0"/>
      </font>
      <fill>
        <patternFill>
          <bgColor rgb="FFC00000"/>
        </patternFill>
      </fill>
    </dxf>
    <dxf>
      <font>
        <color theme="0"/>
      </font>
      <fill>
        <patternFill>
          <bgColor theme="9" tint="-0.499984740745262"/>
        </patternFill>
      </fill>
    </dxf>
    <dxf>
      <font>
        <color theme="0"/>
      </font>
      <fill>
        <patternFill>
          <bgColor rgb="FFA6A200"/>
        </patternFill>
      </fill>
    </dxf>
    <dxf>
      <font>
        <color theme="0"/>
      </font>
      <fill>
        <patternFill>
          <bgColor theme="9" tint="-0.24994659260841701"/>
        </patternFill>
      </fill>
    </dxf>
    <dxf>
      <font>
        <color theme="0"/>
      </font>
      <fill>
        <patternFill>
          <bgColor theme="6" tint="-0.499984740745262"/>
        </patternFill>
      </fill>
    </dxf>
    <dxf>
      <font>
        <color theme="0"/>
      </font>
      <fill>
        <patternFill>
          <bgColor rgb="FF0070C0"/>
        </patternFill>
      </fill>
    </dxf>
    <dxf>
      <font>
        <color theme="0"/>
      </font>
      <fill>
        <patternFill>
          <bgColor rgb="FFC00000"/>
        </patternFill>
      </fill>
    </dxf>
    <dxf>
      <font>
        <color theme="0"/>
      </font>
      <fill>
        <patternFill>
          <bgColor theme="9" tint="-0.499984740745262"/>
        </patternFill>
      </fill>
    </dxf>
    <dxf>
      <font>
        <color theme="0"/>
      </font>
      <fill>
        <patternFill>
          <bgColor theme="9" tint="-0.24994659260841701"/>
        </patternFill>
      </fill>
    </dxf>
    <dxf>
      <font>
        <color theme="0"/>
      </font>
      <fill>
        <patternFill>
          <bgColor rgb="FFA6A200"/>
        </patternFill>
      </fill>
    </dxf>
    <dxf>
      <font>
        <color theme="0"/>
      </font>
      <fill>
        <patternFill>
          <bgColor rgb="FFC00000"/>
        </patternFill>
      </fill>
    </dxf>
    <dxf>
      <font>
        <color theme="0"/>
      </font>
      <fill>
        <patternFill>
          <bgColor theme="9" tint="-0.499984740745262"/>
        </patternFill>
      </fill>
    </dxf>
    <dxf>
      <font>
        <color theme="0"/>
      </font>
      <fill>
        <patternFill>
          <bgColor theme="9" tint="-0.24994659260841701"/>
        </patternFill>
      </fill>
    </dxf>
    <dxf>
      <font>
        <color theme="0"/>
      </font>
      <fill>
        <patternFill>
          <bgColor rgb="FFA6A200"/>
        </patternFill>
      </fill>
    </dxf>
    <dxf>
      <font>
        <color theme="0"/>
      </font>
      <fill>
        <patternFill>
          <bgColor theme="6" tint="-0.499984740745262"/>
        </patternFill>
      </fill>
    </dxf>
    <dxf>
      <font>
        <color theme="0"/>
      </font>
      <fill>
        <patternFill>
          <bgColor rgb="FF0070C0"/>
        </patternFill>
      </fill>
    </dxf>
    <dxf>
      <font>
        <color theme="0"/>
      </font>
      <fill>
        <patternFill>
          <bgColor theme="6" tint="-0.499984740745262"/>
        </patternFill>
      </fill>
    </dxf>
    <dxf>
      <font>
        <color theme="0"/>
      </font>
      <fill>
        <patternFill>
          <bgColor rgb="FFA6A200"/>
        </patternFill>
      </fill>
    </dxf>
    <dxf>
      <font>
        <color theme="0"/>
      </font>
      <fill>
        <patternFill>
          <bgColor theme="9" tint="-0.24994659260841701"/>
        </patternFill>
      </fill>
    </dxf>
    <dxf>
      <font>
        <color theme="0"/>
      </font>
      <fill>
        <patternFill>
          <bgColor theme="9" tint="-0.499984740745262"/>
        </patternFill>
      </fill>
    </dxf>
    <dxf>
      <font>
        <color theme="0"/>
      </font>
      <fill>
        <patternFill>
          <bgColor rgb="FF0070C0"/>
        </patternFill>
      </fill>
    </dxf>
    <dxf>
      <font>
        <color theme="0"/>
      </font>
      <fill>
        <patternFill>
          <bgColor rgb="FFC00000"/>
        </patternFill>
      </fill>
    </dxf>
    <dxf>
      <font>
        <color theme="0"/>
      </font>
      <fill>
        <patternFill>
          <bgColor rgb="FF00B050"/>
        </patternFill>
      </fill>
    </dxf>
    <dxf>
      <font>
        <color theme="0"/>
      </font>
      <fill>
        <patternFill>
          <bgColor rgb="FF0070C0"/>
        </patternFill>
      </fill>
    </dxf>
    <dxf>
      <font>
        <color theme="0"/>
      </font>
      <fill>
        <patternFill>
          <bgColor rgb="FFC0BC00"/>
        </patternFill>
      </fill>
    </dxf>
    <dxf>
      <font>
        <color theme="0"/>
      </font>
      <fill>
        <patternFill>
          <bgColor theme="9" tint="-0.24994659260841701"/>
        </patternFill>
      </fill>
    </dxf>
    <dxf>
      <font>
        <color theme="0"/>
      </font>
      <fill>
        <patternFill>
          <bgColor rgb="FFC00000"/>
        </patternFill>
      </fill>
    </dxf>
    <dxf>
      <font>
        <color theme="0"/>
      </font>
      <fill>
        <patternFill>
          <bgColor rgb="FFFF0000"/>
        </patternFill>
      </fill>
    </dxf>
    <dxf>
      <font>
        <color theme="0"/>
      </font>
      <fill>
        <patternFill>
          <bgColor rgb="FF00B050"/>
        </patternFill>
      </fill>
    </dxf>
    <dxf>
      <font>
        <color theme="0"/>
      </font>
      <fill>
        <patternFill>
          <bgColor rgb="FF0070C0"/>
        </patternFill>
      </fill>
    </dxf>
    <dxf>
      <font>
        <color theme="0"/>
      </font>
      <fill>
        <patternFill>
          <bgColor rgb="FFC0BC00"/>
        </patternFill>
      </fill>
    </dxf>
    <dxf>
      <font>
        <color theme="0"/>
      </font>
      <fill>
        <patternFill>
          <bgColor theme="9" tint="-0.24994659260841701"/>
        </patternFill>
      </fill>
    </dxf>
    <dxf>
      <font>
        <color theme="0"/>
      </font>
      <fill>
        <patternFill>
          <bgColor rgb="FFC00000"/>
        </patternFill>
      </fill>
    </dxf>
    <dxf>
      <font>
        <color theme="0"/>
      </font>
      <fill>
        <patternFill>
          <bgColor rgb="FFFF0000"/>
        </patternFill>
      </fill>
    </dxf>
    <dxf>
      <font>
        <color theme="0"/>
      </font>
      <fill>
        <patternFill>
          <bgColor rgb="FF00B050"/>
        </patternFill>
      </fill>
    </dxf>
    <dxf>
      <font>
        <color theme="0"/>
      </font>
      <fill>
        <patternFill>
          <bgColor rgb="FF0070C0"/>
        </patternFill>
      </fill>
    </dxf>
    <dxf>
      <font>
        <color theme="0"/>
      </font>
      <fill>
        <patternFill>
          <bgColor rgb="FFFF0000"/>
        </patternFill>
      </fill>
    </dxf>
    <dxf>
      <font>
        <color theme="0"/>
      </font>
      <fill>
        <patternFill>
          <bgColor rgb="FFC00000"/>
        </patternFill>
      </fill>
    </dxf>
    <dxf>
      <font>
        <color theme="0"/>
      </font>
      <fill>
        <patternFill>
          <bgColor theme="9" tint="-0.24994659260841701"/>
        </patternFill>
      </fill>
    </dxf>
    <dxf>
      <font>
        <color theme="0"/>
      </font>
      <fill>
        <patternFill>
          <bgColor rgb="FFC0BC00"/>
        </patternFill>
      </fill>
    </dxf>
    <dxf>
      <font>
        <color theme="0"/>
      </font>
      <fill>
        <patternFill>
          <bgColor rgb="FFFF0000"/>
        </patternFill>
      </fill>
    </dxf>
    <dxf>
      <font>
        <color theme="0"/>
      </font>
      <fill>
        <patternFill>
          <bgColor rgb="FFC00000"/>
        </patternFill>
      </fill>
    </dxf>
    <dxf>
      <font>
        <color theme="0"/>
      </font>
      <fill>
        <patternFill>
          <bgColor theme="9" tint="-0.24994659260841701"/>
        </patternFill>
      </fill>
    </dxf>
    <dxf>
      <font>
        <color theme="0"/>
      </font>
      <fill>
        <patternFill>
          <bgColor rgb="FFC0BC00"/>
        </patternFill>
      </fill>
    </dxf>
    <dxf>
      <font>
        <color theme="0"/>
      </font>
      <fill>
        <patternFill>
          <bgColor rgb="FF0070C0"/>
        </patternFill>
      </fill>
    </dxf>
    <dxf>
      <font>
        <color theme="0"/>
      </font>
      <fill>
        <patternFill>
          <bgColor rgb="FF00B050"/>
        </patternFill>
      </fill>
    </dxf>
    <dxf>
      <font>
        <color theme="0"/>
      </font>
      <fill>
        <patternFill>
          <bgColor rgb="FF00B050"/>
        </patternFill>
      </fill>
    </dxf>
    <dxf>
      <font>
        <color theme="0"/>
      </font>
      <fill>
        <patternFill>
          <bgColor rgb="FF0070C0"/>
        </patternFill>
      </fill>
    </dxf>
    <dxf>
      <font>
        <color theme="0"/>
      </font>
      <fill>
        <patternFill>
          <bgColor rgb="FFC0BC00"/>
        </patternFill>
      </fill>
    </dxf>
    <dxf>
      <font>
        <color theme="0"/>
      </font>
      <fill>
        <patternFill>
          <bgColor theme="9" tint="-0.24994659260841701"/>
        </patternFill>
      </fill>
    </dxf>
    <dxf>
      <font>
        <color theme="0"/>
      </font>
      <fill>
        <patternFill>
          <bgColor rgb="FFC00000"/>
        </patternFill>
      </fill>
    </dxf>
    <dxf>
      <font>
        <color theme="0"/>
      </font>
      <fill>
        <patternFill>
          <bgColor rgb="FFFF0000"/>
        </patternFill>
      </fill>
    </dxf>
    <dxf>
      <font>
        <color theme="0"/>
      </font>
      <fill>
        <patternFill>
          <bgColor rgb="FF00B050"/>
        </patternFill>
      </fill>
    </dxf>
    <dxf>
      <font>
        <color theme="0"/>
      </font>
      <fill>
        <patternFill>
          <bgColor rgb="FF0070C0"/>
        </patternFill>
      </fill>
    </dxf>
    <dxf>
      <font>
        <color theme="0"/>
      </font>
      <fill>
        <patternFill>
          <bgColor rgb="FFC0BC00"/>
        </patternFill>
      </fill>
    </dxf>
    <dxf>
      <font>
        <color theme="0"/>
      </font>
      <fill>
        <patternFill>
          <bgColor theme="9" tint="-0.24994659260841701"/>
        </patternFill>
      </fill>
    </dxf>
    <dxf>
      <font>
        <color theme="0"/>
      </font>
      <fill>
        <patternFill>
          <bgColor rgb="FFC00000"/>
        </patternFill>
      </fill>
    </dxf>
    <dxf>
      <font>
        <color theme="0"/>
      </font>
      <fill>
        <patternFill>
          <bgColor rgb="FFFF0000"/>
        </patternFill>
      </fill>
    </dxf>
    <dxf>
      <font>
        <color theme="0"/>
      </font>
      <fill>
        <patternFill>
          <bgColor rgb="FF00B050"/>
        </patternFill>
      </fill>
    </dxf>
    <dxf>
      <font>
        <color theme="0"/>
      </font>
      <fill>
        <patternFill>
          <bgColor rgb="FFC00000"/>
        </patternFill>
      </fill>
    </dxf>
    <dxf>
      <font>
        <color theme="0"/>
      </font>
      <fill>
        <patternFill>
          <bgColor theme="9" tint="-0.24994659260841701"/>
        </patternFill>
      </fill>
    </dxf>
    <dxf>
      <font>
        <color theme="0"/>
      </font>
      <fill>
        <patternFill>
          <bgColor rgb="FFC0BC00"/>
        </patternFill>
      </fill>
    </dxf>
    <dxf>
      <font>
        <color theme="0"/>
      </font>
      <fill>
        <patternFill>
          <bgColor rgb="FF0070C0"/>
        </patternFill>
      </fill>
    </dxf>
    <dxf>
      <font>
        <color theme="0"/>
      </font>
      <fill>
        <patternFill>
          <bgColor rgb="FFFF0000"/>
        </patternFill>
      </fill>
    </dxf>
    <dxf>
      <font>
        <color theme="0"/>
      </font>
      <fill>
        <patternFill>
          <bgColor theme="6" tint="-0.499984740745262"/>
        </patternFill>
      </fill>
    </dxf>
    <dxf>
      <font>
        <color theme="0"/>
      </font>
      <fill>
        <patternFill>
          <bgColor rgb="FFB4B000"/>
        </patternFill>
      </fill>
    </dxf>
    <dxf>
      <font>
        <color theme="0"/>
      </font>
      <fill>
        <patternFill>
          <bgColor theme="9" tint="-0.24994659260841701"/>
        </patternFill>
      </fill>
    </dxf>
    <dxf>
      <font>
        <color theme="0"/>
      </font>
      <fill>
        <patternFill>
          <bgColor theme="9" tint="-0.499984740745262"/>
        </patternFill>
      </fill>
    </dxf>
    <dxf>
      <font>
        <color theme="0"/>
      </font>
      <fill>
        <patternFill>
          <bgColor rgb="FFC00000"/>
        </patternFill>
      </fill>
    </dxf>
    <dxf>
      <font>
        <color theme="0"/>
      </font>
      <fill>
        <patternFill>
          <bgColor rgb="FF0070C0"/>
        </patternFill>
      </fill>
    </dxf>
    <dxf>
      <font>
        <color theme="0"/>
      </font>
      <fill>
        <patternFill>
          <bgColor rgb="FF0070C0"/>
        </patternFill>
      </fill>
    </dxf>
    <dxf>
      <font>
        <color theme="0"/>
      </font>
      <fill>
        <patternFill>
          <bgColor theme="6" tint="-0.499984740745262"/>
        </patternFill>
      </fill>
    </dxf>
    <dxf>
      <font>
        <color theme="0"/>
      </font>
      <fill>
        <patternFill>
          <bgColor rgb="FFB4B000"/>
        </patternFill>
      </fill>
    </dxf>
    <dxf>
      <font>
        <color theme="0"/>
      </font>
      <fill>
        <patternFill>
          <bgColor theme="9" tint="-0.24994659260841701"/>
        </patternFill>
      </fill>
    </dxf>
    <dxf>
      <font>
        <color theme="0"/>
      </font>
      <fill>
        <patternFill>
          <bgColor theme="9" tint="-0.499984740745262"/>
        </patternFill>
      </fill>
    </dxf>
    <dxf>
      <font>
        <color theme="0"/>
      </font>
      <fill>
        <patternFill>
          <bgColor rgb="FFC00000"/>
        </patternFill>
      </fill>
    </dxf>
    <dxf>
      <font>
        <color theme="0"/>
      </font>
      <fill>
        <patternFill>
          <bgColor rgb="FFC00000"/>
        </patternFill>
      </fill>
    </dxf>
    <dxf>
      <font>
        <color theme="0"/>
      </font>
      <fill>
        <patternFill>
          <bgColor theme="9" tint="-0.499984740745262"/>
        </patternFill>
      </fill>
    </dxf>
    <dxf>
      <font>
        <color theme="0"/>
      </font>
      <fill>
        <patternFill>
          <bgColor theme="9" tint="-0.24994659260841701"/>
        </patternFill>
      </fill>
    </dxf>
    <dxf>
      <font>
        <color theme="0"/>
      </font>
      <fill>
        <patternFill>
          <bgColor rgb="FFB4B000"/>
        </patternFill>
      </fill>
    </dxf>
    <dxf>
      <font>
        <color theme="0"/>
      </font>
      <fill>
        <patternFill>
          <bgColor theme="6" tint="-0.499984740745262"/>
        </patternFill>
      </fill>
    </dxf>
    <dxf>
      <font>
        <color theme="0"/>
      </font>
      <fill>
        <patternFill>
          <bgColor rgb="FF0070C0"/>
        </patternFill>
      </fill>
    </dxf>
    <dxf>
      <font>
        <color theme="0"/>
      </font>
      <fill>
        <patternFill>
          <bgColor theme="6" tint="-0.499984740745262"/>
        </patternFill>
      </fill>
    </dxf>
    <dxf>
      <font>
        <color theme="0"/>
      </font>
      <fill>
        <patternFill>
          <bgColor rgb="FFB4B000"/>
        </patternFill>
      </fill>
    </dxf>
    <dxf>
      <font>
        <color theme="0"/>
      </font>
      <fill>
        <patternFill>
          <bgColor theme="9" tint="-0.24994659260841701"/>
        </patternFill>
      </fill>
    </dxf>
    <dxf>
      <font>
        <color theme="0"/>
      </font>
      <fill>
        <patternFill>
          <bgColor theme="9" tint="-0.499984740745262"/>
        </patternFill>
      </fill>
    </dxf>
    <dxf>
      <font>
        <color theme="0"/>
      </font>
      <fill>
        <patternFill>
          <bgColor rgb="FFC00000"/>
        </patternFill>
      </fill>
    </dxf>
    <dxf>
      <font>
        <color theme="0"/>
      </font>
      <fill>
        <patternFill>
          <bgColor rgb="FF0070C0"/>
        </patternFill>
      </fill>
    </dxf>
    <dxf>
      <font>
        <color theme="0"/>
      </font>
      <fill>
        <patternFill>
          <bgColor rgb="FF0070C0"/>
        </patternFill>
      </fill>
    </dxf>
    <dxf>
      <font>
        <color theme="0"/>
      </font>
      <fill>
        <patternFill>
          <bgColor theme="6" tint="-0.499984740745262"/>
        </patternFill>
      </fill>
    </dxf>
    <dxf>
      <font>
        <color theme="0"/>
      </font>
      <fill>
        <patternFill>
          <bgColor rgb="FFB4B000"/>
        </patternFill>
      </fill>
    </dxf>
    <dxf>
      <font>
        <color theme="0"/>
      </font>
      <fill>
        <patternFill>
          <bgColor theme="9" tint="-0.24994659260841701"/>
        </patternFill>
      </fill>
    </dxf>
    <dxf>
      <font>
        <color theme="0"/>
      </font>
      <fill>
        <patternFill>
          <bgColor theme="9" tint="-0.499984740745262"/>
        </patternFill>
      </fill>
    </dxf>
    <dxf>
      <font>
        <color theme="0"/>
      </font>
      <fill>
        <patternFill>
          <bgColor rgb="FFC00000"/>
        </patternFill>
      </fill>
    </dxf>
    <dxf>
      <font>
        <color theme="0"/>
      </font>
      <fill>
        <patternFill>
          <bgColor theme="6" tint="-0.499984740745262"/>
        </patternFill>
      </fill>
    </dxf>
    <dxf>
      <font>
        <color theme="0"/>
      </font>
      <fill>
        <patternFill>
          <bgColor rgb="FFB4B000"/>
        </patternFill>
      </fill>
    </dxf>
    <dxf>
      <font>
        <color theme="0"/>
      </font>
      <fill>
        <patternFill>
          <bgColor theme="9" tint="-0.24994659260841701"/>
        </patternFill>
      </fill>
    </dxf>
    <dxf>
      <font>
        <color theme="0"/>
      </font>
      <fill>
        <patternFill>
          <bgColor theme="9" tint="-0.499984740745262"/>
        </patternFill>
      </fill>
    </dxf>
    <dxf>
      <font>
        <color theme="0"/>
      </font>
      <fill>
        <patternFill>
          <bgColor rgb="FF0070C0"/>
        </patternFill>
      </fill>
    </dxf>
    <dxf>
      <font>
        <color theme="0"/>
      </font>
      <fill>
        <patternFill>
          <bgColor rgb="FFC00000"/>
        </patternFill>
      </fill>
    </dxf>
    <dxf>
      <font>
        <color theme="0"/>
      </font>
      <fill>
        <patternFill>
          <bgColor rgb="FF0070C0"/>
        </patternFill>
      </fill>
    </dxf>
    <dxf>
      <font>
        <color theme="0"/>
      </font>
      <fill>
        <patternFill>
          <bgColor rgb="FFC0BC00"/>
        </patternFill>
      </fill>
    </dxf>
    <dxf>
      <font>
        <color theme="0"/>
      </font>
      <fill>
        <patternFill>
          <bgColor theme="9" tint="-0.24994659260841701"/>
        </patternFill>
      </fill>
    </dxf>
    <dxf>
      <font>
        <color theme="0"/>
      </font>
      <fill>
        <patternFill>
          <bgColor rgb="FFC00000"/>
        </patternFill>
      </fill>
    </dxf>
    <dxf>
      <font>
        <color theme="0"/>
      </font>
      <fill>
        <patternFill>
          <bgColor rgb="FFFF0000"/>
        </patternFill>
      </fill>
    </dxf>
    <dxf>
      <font>
        <color theme="0"/>
      </font>
      <fill>
        <patternFill>
          <bgColor rgb="FF00B050"/>
        </patternFill>
      </fill>
    </dxf>
    <dxf>
      <font>
        <color theme="0"/>
      </font>
      <fill>
        <patternFill>
          <bgColor rgb="FF00B050"/>
        </patternFill>
      </fill>
    </dxf>
    <dxf>
      <font>
        <color theme="0"/>
      </font>
      <fill>
        <patternFill>
          <bgColor rgb="FF0070C0"/>
        </patternFill>
      </fill>
    </dxf>
    <dxf>
      <font>
        <color theme="0"/>
      </font>
      <fill>
        <patternFill>
          <bgColor rgb="FFC0BC00"/>
        </patternFill>
      </fill>
    </dxf>
    <dxf>
      <font>
        <color theme="0"/>
      </font>
      <fill>
        <patternFill>
          <bgColor rgb="FFC00000"/>
        </patternFill>
      </fill>
    </dxf>
    <dxf>
      <font>
        <color theme="0"/>
      </font>
      <fill>
        <patternFill>
          <bgColor rgb="FFFF0000"/>
        </patternFill>
      </fill>
    </dxf>
    <dxf>
      <font>
        <color theme="0"/>
      </font>
      <fill>
        <patternFill>
          <bgColor theme="9" tint="-0.24994659260841701"/>
        </patternFill>
      </fill>
    </dxf>
    <dxf>
      <font>
        <color theme="0"/>
      </font>
      <fill>
        <patternFill>
          <bgColor rgb="FFFF0000"/>
        </patternFill>
      </fill>
    </dxf>
    <dxf>
      <font>
        <color theme="0"/>
      </font>
      <fill>
        <patternFill>
          <bgColor rgb="FFC00000"/>
        </patternFill>
      </fill>
    </dxf>
    <dxf>
      <font>
        <color theme="0"/>
      </font>
      <fill>
        <patternFill>
          <bgColor theme="9" tint="-0.24994659260841701"/>
        </patternFill>
      </fill>
    </dxf>
    <dxf>
      <font>
        <color theme="0"/>
      </font>
      <fill>
        <patternFill>
          <bgColor rgb="FFC0BC00"/>
        </patternFill>
      </fill>
    </dxf>
    <dxf>
      <font>
        <color theme="0"/>
      </font>
      <fill>
        <patternFill>
          <bgColor rgb="FF0070C0"/>
        </patternFill>
      </fill>
    </dxf>
    <dxf>
      <font>
        <color theme="0"/>
      </font>
      <fill>
        <patternFill>
          <bgColor rgb="FF00B050"/>
        </patternFill>
      </fill>
    </dxf>
    <dxf>
      <font>
        <color theme="0"/>
      </font>
      <fill>
        <patternFill>
          <bgColor rgb="FF0070C0"/>
        </patternFill>
      </fill>
    </dxf>
    <dxf>
      <font>
        <color theme="0"/>
      </font>
      <fill>
        <patternFill>
          <bgColor rgb="FFC0BC00"/>
        </patternFill>
      </fill>
    </dxf>
    <dxf>
      <font>
        <color theme="0"/>
      </font>
      <fill>
        <patternFill>
          <bgColor theme="9" tint="-0.24994659260841701"/>
        </patternFill>
      </fill>
    </dxf>
    <dxf>
      <font>
        <color theme="0"/>
      </font>
      <fill>
        <patternFill>
          <bgColor rgb="FFC00000"/>
        </patternFill>
      </fill>
    </dxf>
    <dxf>
      <font>
        <color theme="0"/>
      </font>
      <fill>
        <patternFill>
          <bgColor rgb="FFFF0000"/>
        </patternFill>
      </fill>
    </dxf>
    <dxf>
      <font>
        <color theme="0"/>
      </font>
      <fill>
        <patternFill>
          <bgColor rgb="FF00B050"/>
        </patternFill>
      </fill>
    </dxf>
    <dxf>
      <font>
        <color theme="0"/>
      </font>
      <fill>
        <patternFill>
          <bgColor rgb="FF00B050"/>
        </patternFill>
      </fill>
    </dxf>
    <dxf>
      <font>
        <color theme="0"/>
      </font>
      <fill>
        <patternFill>
          <bgColor rgb="FF0070C0"/>
        </patternFill>
      </fill>
    </dxf>
    <dxf>
      <font>
        <color theme="0"/>
      </font>
      <fill>
        <patternFill>
          <bgColor rgb="FFC0BC00"/>
        </patternFill>
      </fill>
    </dxf>
    <dxf>
      <font>
        <color theme="0"/>
      </font>
      <fill>
        <patternFill>
          <bgColor theme="9" tint="-0.24994659260841701"/>
        </patternFill>
      </fill>
    </dxf>
    <dxf>
      <font>
        <color theme="0"/>
      </font>
      <fill>
        <patternFill>
          <bgColor rgb="FFC00000"/>
        </patternFill>
      </fill>
    </dxf>
    <dxf>
      <font>
        <color theme="0"/>
      </font>
      <fill>
        <patternFill>
          <bgColor rgb="FFFF0000"/>
        </patternFill>
      </fill>
    </dxf>
    <dxf>
      <font>
        <color theme="0"/>
      </font>
      <fill>
        <patternFill>
          <bgColor rgb="FF0070C0"/>
        </patternFill>
      </fill>
    </dxf>
    <dxf>
      <font>
        <color theme="0"/>
      </font>
      <fill>
        <patternFill>
          <bgColor rgb="FFC0BC00"/>
        </patternFill>
      </fill>
    </dxf>
    <dxf>
      <font>
        <color theme="0"/>
      </font>
      <fill>
        <patternFill>
          <bgColor theme="9" tint="-0.24994659260841701"/>
        </patternFill>
      </fill>
    </dxf>
    <dxf>
      <font>
        <color theme="0"/>
      </font>
      <fill>
        <patternFill>
          <bgColor rgb="FFC00000"/>
        </patternFill>
      </fill>
    </dxf>
    <dxf>
      <font>
        <color theme="0"/>
      </font>
      <fill>
        <patternFill>
          <bgColor rgb="FFFF0000"/>
        </patternFill>
      </fill>
    </dxf>
    <dxf>
      <font>
        <color theme="0"/>
      </font>
      <fill>
        <patternFill>
          <bgColor rgb="FF00B050"/>
        </patternFill>
      </fill>
    </dxf>
    <dxf>
      <font>
        <color theme="0"/>
      </font>
      <fill>
        <patternFill>
          <bgColor rgb="FFFF0000"/>
        </patternFill>
      </fill>
    </dxf>
    <dxf>
      <font>
        <color theme="0"/>
      </font>
      <fill>
        <patternFill>
          <bgColor rgb="FFC00000"/>
        </patternFill>
      </fill>
    </dxf>
    <dxf>
      <font>
        <color theme="0"/>
      </font>
      <fill>
        <patternFill>
          <bgColor theme="9" tint="-0.24994659260841701"/>
        </patternFill>
      </fill>
    </dxf>
    <dxf>
      <font>
        <color theme="0"/>
      </font>
      <fill>
        <patternFill>
          <bgColor rgb="FFC0BC00"/>
        </patternFill>
      </fill>
    </dxf>
    <dxf>
      <font>
        <color theme="0"/>
      </font>
      <fill>
        <patternFill>
          <bgColor rgb="FF0070C0"/>
        </patternFill>
      </fill>
    </dxf>
    <dxf>
      <font>
        <color theme="0"/>
      </font>
      <fill>
        <patternFill>
          <bgColor rgb="FF00B050"/>
        </patternFill>
      </fill>
    </dxf>
    <dxf>
      <font>
        <color theme="0"/>
      </font>
      <fill>
        <patternFill>
          <bgColor theme="9" tint="-0.499984740745262"/>
        </patternFill>
      </fill>
    </dxf>
    <dxf>
      <font>
        <color theme="0"/>
      </font>
      <fill>
        <patternFill>
          <bgColor rgb="FFC00000"/>
        </patternFill>
      </fill>
    </dxf>
    <dxf>
      <font>
        <color theme="0"/>
      </font>
      <fill>
        <patternFill>
          <bgColor theme="9" tint="-0.24994659260841701"/>
        </patternFill>
      </fill>
    </dxf>
    <dxf>
      <font>
        <color theme="0"/>
      </font>
      <fill>
        <patternFill>
          <bgColor rgb="FFB4B000"/>
        </patternFill>
      </fill>
    </dxf>
    <dxf>
      <font>
        <color theme="0"/>
      </font>
      <fill>
        <patternFill>
          <bgColor theme="6" tint="-0.499984740745262"/>
        </patternFill>
      </fill>
    </dxf>
    <dxf>
      <font>
        <color theme="0"/>
      </font>
      <fill>
        <patternFill>
          <bgColor rgb="FF0070C0"/>
        </patternFill>
      </fill>
    </dxf>
    <dxf>
      <font>
        <color theme="0"/>
      </font>
      <fill>
        <patternFill>
          <bgColor rgb="FFC00000"/>
        </patternFill>
      </fill>
    </dxf>
    <dxf>
      <font>
        <color theme="0"/>
      </font>
      <fill>
        <patternFill>
          <bgColor theme="9" tint="-0.499984740745262"/>
        </patternFill>
      </fill>
    </dxf>
    <dxf>
      <font>
        <color theme="0"/>
      </font>
      <fill>
        <patternFill>
          <bgColor theme="9" tint="-0.24994659260841701"/>
        </patternFill>
      </fill>
    </dxf>
    <dxf>
      <font>
        <color theme="0"/>
      </font>
      <fill>
        <patternFill>
          <bgColor rgb="FFB4B000"/>
        </patternFill>
      </fill>
    </dxf>
    <dxf>
      <font>
        <color theme="0"/>
      </font>
      <fill>
        <patternFill>
          <bgColor theme="6" tint="-0.499984740745262"/>
        </patternFill>
      </fill>
    </dxf>
    <dxf>
      <font>
        <color theme="0"/>
      </font>
      <fill>
        <patternFill>
          <bgColor rgb="FF0070C0"/>
        </patternFill>
      </fill>
    </dxf>
    <dxf>
      <font>
        <color theme="0"/>
      </font>
      <fill>
        <patternFill>
          <bgColor rgb="FFC00000"/>
        </patternFill>
      </fill>
    </dxf>
    <dxf>
      <font>
        <color theme="0"/>
      </font>
      <fill>
        <patternFill>
          <bgColor theme="9" tint="-0.499984740745262"/>
        </patternFill>
      </fill>
    </dxf>
    <dxf>
      <font>
        <color theme="0"/>
      </font>
      <fill>
        <patternFill>
          <bgColor theme="9" tint="-0.24994659260841701"/>
        </patternFill>
      </fill>
    </dxf>
    <dxf>
      <font>
        <color theme="0"/>
      </font>
      <fill>
        <patternFill>
          <bgColor rgb="FFB4B000"/>
        </patternFill>
      </fill>
    </dxf>
    <dxf>
      <font>
        <color theme="0"/>
      </font>
      <fill>
        <patternFill>
          <bgColor theme="6" tint="-0.499984740745262"/>
        </patternFill>
      </fill>
    </dxf>
    <dxf>
      <font>
        <color theme="0"/>
      </font>
      <fill>
        <patternFill>
          <bgColor rgb="FF0070C0"/>
        </patternFill>
      </fill>
    </dxf>
    <dxf>
      <font>
        <color theme="0"/>
      </font>
      <fill>
        <patternFill>
          <bgColor rgb="FF0070C0"/>
        </patternFill>
      </fill>
    </dxf>
    <dxf>
      <font>
        <color theme="0"/>
      </font>
      <fill>
        <patternFill>
          <bgColor theme="9" tint="-0.499984740745262"/>
        </patternFill>
      </fill>
    </dxf>
    <dxf>
      <font>
        <color theme="0"/>
      </font>
      <fill>
        <patternFill>
          <bgColor theme="9" tint="-0.24994659260841701"/>
        </patternFill>
      </fill>
    </dxf>
    <dxf>
      <font>
        <color theme="0"/>
      </font>
      <fill>
        <patternFill>
          <bgColor rgb="FFB4B000"/>
        </patternFill>
      </fill>
    </dxf>
    <dxf>
      <font>
        <color theme="0"/>
      </font>
      <fill>
        <patternFill>
          <bgColor theme="6" tint="-0.499984740745262"/>
        </patternFill>
      </fill>
    </dxf>
    <dxf>
      <font>
        <color theme="0"/>
      </font>
      <fill>
        <patternFill>
          <bgColor rgb="FFFF0000"/>
        </patternFill>
      </fill>
    </dxf>
    <dxf>
      <font>
        <color theme="0"/>
      </font>
      <fill>
        <patternFill>
          <bgColor rgb="FF0070C0"/>
        </patternFill>
      </fill>
    </dxf>
    <dxf>
      <font>
        <color theme="0"/>
      </font>
      <fill>
        <patternFill>
          <bgColor rgb="FFC0BC00"/>
        </patternFill>
      </fill>
    </dxf>
    <dxf>
      <font>
        <color theme="0"/>
      </font>
      <fill>
        <patternFill>
          <bgColor theme="9" tint="-0.24994659260841701"/>
        </patternFill>
      </fill>
    </dxf>
    <dxf>
      <font>
        <color theme="0"/>
      </font>
      <fill>
        <patternFill>
          <bgColor rgb="FFC00000"/>
        </patternFill>
      </fill>
    </dxf>
    <dxf>
      <font>
        <color theme="0"/>
      </font>
      <fill>
        <patternFill>
          <bgColor rgb="FFFF0000"/>
        </patternFill>
      </fill>
    </dxf>
    <dxf>
      <font>
        <color theme="0"/>
      </font>
      <fill>
        <patternFill>
          <bgColor rgb="FF00B050"/>
        </patternFill>
      </fill>
    </dxf>
    <dxf>
      <font>
        <color theme="0"/>
      </font>
      <fill>
        <patternFill>
          <bgColor rgb="FFFF0000"/>
        </patternFill>
      </fill>
    </dxf>
    <dxf>
      <font>
        <color theme="0"/>
      </font>
      <fill>
        <patternFill>
          <bgColor rgb="FFFF0000"/>
        </patternFill>
      </fill>
    </dxf>
    <dxf>
      <font>
        <color theme="0"/>
      </font>
      <fill>
        <patternFill>
          <bgColor rgb="FFC00000"/>
        </patternFill>
      </fill>
    </dxf>
    <dxf>
      <font>
        <color theme="0"/>
      </font>
      <fill>
        <patternFill>
          <bgColor theme="9" tint="-0.24994659260841701"/>
        </patternFill>
      </fill>
    </dxf>
    <dxf>
      <font>
        <color theme="0"/>
      </font>
      <fill>
        <patternFill>
          <bgColor rgb="FFC0BC00"/>
        </patternFill>
      </fill>
    </dxf>
    <dxf>
      <font>
        <color theme="0"/>
      </font>
      <fill>
        <patternFill>
          <bgColor rgb="FF0070C0"/>
        </patternFill>
      </fill>
    </dxf>
    <dxf>
      <font>
        <color theme="0"/>
      </font>
      <fill>
        <patternFill>
          <bgColor rgb="FF00B050"/>
        </patternFill>
      </fill>
    </dxf>
    <dxf>
      <font>
        <color theme="0"/>
      </font>
      <fill>
        <patternFill>
          <bgColor rgb="FFFF0000"/>
        </patternFill>
      </fill>
    </dxf>
    <dxf>
      <font>
        <color theme="0"/>
      </font>
      <fill>
        <patternFill>
          <bgColor rgb="FFC00000"/>
        </patternFill>
      </fill>
    </dxf>
    <dxf>
      <font>
        <color theme="0"/>
      </font>
      <fill>
        <patternFill>
          <bgColor theme="9" tint="-0.24994659260841701"/>
        </patternFill>
      </fill>
    </dxf>
    <dxf>
      <font>
        <color theme="0"/>
      </font>
      <fill>
        <patternFill>
          <bgColor rgb="FFC0BC00"/>
        </patternFill>
      </fill>
    </dxf>
    <dxf>
      <font>
        <color theme="0"/>
      </font>
      <fill>
        <patternFill>
          <bgColor rgb="FF0070C0"/>
        </patternFill>
      </fill>
    </dxf>
    <dxf>
      <font>
        <color theme="0"/>
      </font>
      <fill>
        <patternFill>
          <bgColor rgb="FF00B050"/>
        </patternFill>
      </fill>
    </dxf>
    <dxf>
      <font>
        <color theme="0"/>
      </font>
      <fill>
        <patternFill>
          <bgColor rgb="FFC00000"/>
        </patternFill>
      </fill>
    </dxf>
    <dxf>
      <font>
        <color theme="0"/>
      </font>
      <fill>
        <patternFill>
          <bgColor theme="9" tint="-0.24994659260841701"/>
        </patternFill>
      </fill>
    </dxf>
    <dxf>
      <font>
        <color theme="0"/>
      </font>
      <fill>
        <patternFill>
          <bgColor rgb="FFC0BC00"/>
        </patternFill>
      </fill>
    </dxf>
    <dxf>
      <font>
        <color theme="0"/>
      </font>
      <fill>
        <patternFill>
          <bgColor rgb="FF0070C0"/>
        </patternFill>
      </fill>
    </dxf>
    <dxf>
      <font>
        <color theme="0"/>
      </font>
      <fill>
        <patternFill>
          <bgColor rgb="FF00B050"/>
        </patternFill>
      </fill>
    </dxf>
    <dxf>
      <font>
        <color theme="0"/>
      </font>
      <fill>
        <patternFill>
          <bgColor rgb="FFFF0000"/>
        </patternFill>
      </fill>
    </dxf>
    <dxf>
      <font>
        <color theme="0"/>
      </font>
      <fill>
        <patternFill>
          <bgColor rgb="FF0070C0"/>
        </patternFill>
      </fill>
    </dxf>
    <dxf>
      <font>
        <color theme="0"/>
      </font>
      <fill>
        <patternFill>
          <bgColor rgb="FFC0BC00"/>
        </patternFill>
      </fill>
    </dxf>
    <dxf>
      <font>
        <color theme="0"/>
      </font>
      <fill>
        <patternFill>
          <bgColor theme="9" tint="-0.24994659260841701"/>
        </patternFill>
      </fill>
    </dxf>
    <dxf>
      <font>
        <color theme="0"/>
      </font>
      <fill>
        <patternFill>
          <bgColor rgb="FFC00000"/>
        </patternFill>
      </fill>
    </dxf>
    <dxf>
      <font>
        <color theme="0"/>
      </font>
      <fill>
        <patternFill>
          <bgColor rgb="FF00B050"/>
        </patternFill>
      </fill>
    </dxf>
  </dxfs>
  <tableStyles count="0" defaultTableStyle="TableStyleMedium9" defaultPivotStyle="PivotStyleLight16"/>
  <colors>
    <mruColors>
      <color rgb="FFC0BC00"/>
      <color rgb="FFCCCC00"/>
      <color rgb="FFCBCBCB"/>
      <color rgb="FF323C6C"/>
      <color rgb="FF3D597B"/>
      <color rgb="FFF4F7FA"/>
      <color rgb="FFEEF3F8"/>
      <color rgb="FF87A4C3"/>
      <color rgb="FFB4B000"/>
      <color rgb="FFA6A2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radarChart>
        <c:radarStyle val="marker"/>
        <c:varyColors val="0"/>
        <c:ser>
          <c:idx val="0"/>
          <c:order val="0"/>
          <c:tx>
            <c:strRef>
              <c:f>'Score Card - Graphs'!$C$3</c:f>
              <c:strCache>
                <c:ptCount val="1"/>
                <c:pt idx="0">
                  <c:v>Assessed Score</c:v>
                </c:pt>
              </c:strCache>
            </c:strRef>
          </c:tx>
          <c:cat>
            <c:strRef>
              <c:f>'Score Card - Percentage'!$B$5:$B$8</c:f>
              <c:strCache>
                <c:ptCount val="4"/>
                <c:pt idx="0">
                  <c:v>1.1 - Mission</c:v>
                </c:pt>
                <c:pt idx="1">
                  <c:v>1.2 - Service Catalogue</c:v>
                </c:pt>
                <c:pt idx="2">
                  <c:v>1.3 - Governance</c:v>
                </c:pt>
                <c:pt idx="3">
                  <c:v>1.4 - Repeatability</c:v>
                </c:pt>
              </c:strCache>
            </c:strRef>
          </c:cat>
          <c:val>
            <c:numRef>
              <c:f>'Score Card - Percentage'!$C$5:$C$8</c:f>
              <c:numCache>
                <c:formatCode>0%</c:formatCode>
                <c:ptCount val="4"/>
                <c:pt idx="0">
                  <c:v>0.12</c:v>
                </c:pt>
                <c:pt idx="1">
                  <c:v>0.02</c:v>
                </c:pt>
                <c:pt idx="2">
                  <c:v>0.13</c:v>
                </c:pt>
                <c:pt idx="3">
                  <c:v>0.9</c:v>
                </c:pt>
              </c:numCache>
            </c:numRef>
          </c:val>
          <c:extLst>
            <c:ext xmlns:c16="http://schemas.microsoft.com/office/drawing/2014/chart" uri="{C3380CC4-5D6E-409C-BE32-E72D297353CC}">
              <c16:uniqueId val="{00000000-11CE-4CED-9DF0-40AA775CF272}"/>
            </c:ext>
          </c:extLst>
        </c:ser>
        <c:ser>
          <c:idx val="1"/>
          <c:order val="1"/>
          <c:tx>
            <c:strRef>
              <c:f>'Score Card - Graphs'!$D$3</c:f>
              <c:strCache>
                <c:ptCount val="1"/>
                <c:pt idx="0">
                  <c:v>Peer</c:v>
                </c:pt>
              </c:strCache>
            </c:strRef>
          </c:tx>
          <c:cat>
            <c:strRef>
              <c:f>'Score Card - Percentage'!$B$5:$B$8</c:f>
              <c:strCache>
                <c:ptCount val="4"/>
                <c:pt idx="0">
                  <c:v>1.1 - Mission</c:v>
                </c:pt>
                <c:pt idx="1">
                  <c:v>1.2 - Service Catalogue</c:v>
                </c:pt>
                <c:pt idx="2">
                  <c:v>1.3 - Governance</c:v>
                </c:pt>
                <c:pt idx="3">
                  <c:v>1.4 - Repeatability</c:v>
                </c:pt>
              </c:strCache>
            </c:strRef>
          </c:cat>
          <c:val>
            <c:numRef>
              <c:f>'Score Card - Percentage'!$D$5:$D$8</c:f>
              <c:numCache>
                <c:formatCode>0%</c:formatCode>
                <c:ptCount val="4"/>
                <c:pt idx="0">
                  <c:v>0</c:v>
                </c:pt>
                <c:pt idx="1">
                  <c:v>0</c:v>
                </c:pt>
                <c:pt idx="2">
                  <c:v>0</c:v>
                </c:pt>
                <c:pt idx="3">
                  <c:v>0</c:v>
                </c:pt>
              </c:numCache>
            </c:numRef>
          </c:val>
          <c:extLst>
            <c:ext xmlns:c16="http://schemas.microsoft.com/office/drawing/2014/chart" uri="{C3380CC4-5D6E-409C-BE32-E72D297353CC}">
              <c16:uniqueId val="{00000001-11CE-4CED-9DF0-40AA775CF272}"/>
            </c:ext>
          </c:extLst>
        </c:ser>
        <c:ser>
          <c:idx val="2"/>
          <c:order val="2"/>
          <c:tx>
            <c:strRef>
              <c:f>'Score Card - Graphs'!$E$3</c:f>
              <c:strCache>
                <c:ptCount val="1"/>
                <c:pt idx="0">
                  <c:v>Recommended</c:v>
                </c:pt>
              </c:strCache>
            </c:strRef>
          </c:tx>
          <c:cat>
            <c:strRef>
              <c:f>'Score Card - Percentage'!$B$5:$B$8</c:f>
              <c:strCache>
                <c:ptCount val="4"/>
                <c:pt idx="0">
                  <c:v>1.1 - Mission</c:v>
                </c:pt>
                <c:pt idx="1">
                  <c:v>1.2 - Service Catalogue</c:v>
                </c:pt>
                <c:pt idx="2">
                  <c:v>1.3 - Governance</c:v>
                </c:pt>
                <c:pt idx="3">
                  <c:v>1.4 - Repeatability</c:v>
                </c:pt>
              </c:strCache>
            </c:strRef>
          </c:cat>
          <c:val>
            <c:numRef>
              <c:f>'Score Card - Percentage'!$E$5:$E$8</c:f>
              <c:numCache>
                <c:formatCode>0%</c:formatCode>
                <c:ptCount val="4"/>
                <c:pt idx="0">
                  <c:v>0.8</c:v>
                </c:pt>
                <c:pt idx="1">
                  <c:v>0.8</c:v>
                </c:pt>
                <c:pt idx="2">
                  <c:v>0.8</c:v>
                </c:pt>
                <c:pt idx="3">
                  <c:v>0.8</c:v>
                </c:pt>
              </c:numCache>
            </c:numRef>
          </c:val>
          <c:extLst>
            <c:ext xmlns:c16="http://schemas.microsoft.com/office/drawing/2014/chart" uri="{C3380CC4-5D6E-409C-BE32-E72D297353CC}">
              <c16:uniqueId val="{00000002-11CE-4CED-9DF0-40AA775CF272}"/>
            </c:ext>
          </c:extLst>
        </c:ser>
        <c:dLbls>
          <c:showLegendKey val="0"/>
          <c:showVal val="0"/>
          <c:showCatName val="0"/>
          <c:showSerName val="0"/>
          <c:showPercent val="0"/>
          <c:showBubbleSize val="0"/>
        </c:dLbls>
        <c:axId val="157658112"/>
        <c:axId val="157676288"/>
      </c:radarChart>
      <c:catAx>
        <c:axId val="157658112"/>
        <c:scaling>
          <c:orientation val="minMax"/>
        </c:scaling>
        <c:delete val="0"/>
        <c:axPos val="b"/>
        <c:majorGridlines/>
        <c:numFmt formatCode="General" sourceLinked="0"/>
        <c:majorTickMark val="out"/>
        <c:minorTickMark val="none"/>
        <c:tickLblPos val="nextTo"/>
        <c:crossAx val="157676288"/>
        <c:crosses val="autoZero"/>
        <c:auto val="1"/>
        <c:lblAlgn val="ctr"/>
        <c:lblOffset val="100"/>
        <c:noMultiLvlLbl val="0"/>
      </c:catAx>
      <c:valAx>
        <c:axId val="157676288"/>
        <c:scaling>
          <c:orientation val="minMax"/>
          <c:max val="1"/>
        </c:scaling>
        <c:delete val="0"/>
        <c:axPos val="l"/>
        <c:majorGridlines/>
        <c:numFmt formatCode="0%" sourceLinked="1"/>
        <c:majorTickMark val="cross"/>
        <c:minorTickMark val="none"/>
        <c:tickLblPos val="nextTo"/>
        <c:crossAx val="157658112"/>
        <c:crosses val="autoZero"/>
        <c:crossBetween val="between"/>
      </c:valAx>
    </c:plotArea>
    <c:legend>
      <c:legendPos val="b"/>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radarChart>
        <c:radarStyle val="marker"/>
        <c:varyColors val="0"/>
        <c:ser>
          <c:idx val="0"/>
          <c:order val="0"/>
          <c:tx>
            <c:strRef>
              <c:f>'Score Card - Graphs'!$C$3</c:f>
              <c:strCache>
                <c:ptCount val="1"/>
                <c:pt idx="0">
                  <c:v>Assessed Score</c:v>
                </c:pt>
              </c:strCache>
            </c:strRef>
          </c:tx>
          <c:cat>
            <c:strRef>
              <c:f>'Score Card - Percentage'!$B$10:$B$16</c:f>
              <c:strCache>
                <c:ptCount val="7"/>
                <c:pt idx="0">
                  <c:v>2.1 - Resourcing</c:v>
                </c:pt>
                <c:pt idx="1">
                  <c:v>2.2 - Training</c:v>
                </c:pt>
                <c:pt idx="2">
                  <c:v>2.3 - Certifications</c:v>
                </c:pt>
                <c:pt idx="3">
                  <c:v>2.4 - Relevant Experience</c:v>
                </c:pt>
                <c:pt idx="4">
                  <c:v>2.5 - Skills Assessment</c:v>
                </c:pt>
                <c:pt idx="5">
                  <c:v>2.6 - Career Path</c:v>
                </c:pt>
                <c:pt idx="6">
                  <c:v>2.7 - Leadership</c:v>
                </c:pt>
              </c:strCache>
            </c:strRef>
          </c:cat>
          <c:val>
            <c:numRef>
              <c:f>'Score Card - Percentage'!$C$10:$C$16</c:f>
              <c:numCache>
                <c:formatCode>0%</c:formatCode>
                <c:ptCount val="7"/>
                <c:pt idx="0">
                  <c:v>0</c:v>
                </c:pt>
                <c:pt idx="1">
                  <c:v>0</c:v>
                </c:pt>
                <c:pt idx="2">
                  <c:v>0</c:v>
                </c:pt>
                <c:pt idx="3">
                  <c:v>0</c:v>
                </c:pt>
                <c:pt idx="4">
                  <c:v>0</c:v>
                </c:pt>
                <c:pt idx="5">
                  <c:v>0</c:v>
                </c:pt>
                <c:pt idx="6">
                  <c:v>0</c:v>
                </c:pt>
              </c:numCache>
            </c:numRef>
          </c:val>
          <c:extLst>
            <c:ext xmlns:c16="http://schemas.microsoft.com/office/drawing/2014/chart" uri="{C3380CC4-5D6E-409C-BE32-E72D297353CC}">
              <c16:uniqueId val="{00000000-FAB4-49B8-8445-B981D9D2FE97}"/>
            </c:ext>
          </c:extLst>
        </c:ser>
        <c:ser>
          <c:idx val="1"/>
          <c:order val="1"/>
          <c:tx>
            <c:strRef>
              <c:f>'Score Card - Graphs'!$D$3</c:f>
              <c:strCache>
                <c:ptCount val="1"/>
                <c:pt idx="0">
                  <c:v>Peer</c:v>
                </c:pt>
              </c:strCache>
            </c:strRef>
          </c:tx>
          <c:cat>
            <c:strRef>
              <c:f>'Score Card - Percentage'!$B$10:$B$16</c:f>
              <c:strCache>
                <c:ptCount val="7"/>
                <c:pt idx="0">
                  <c:v>2.1 - Resourcing</c:v>
                </c:pt>
                <c:pt idx="1">
                  <c:v>2.2 - Training</c:v>
                </c:pt>
                <c:pt idx="2">
                  <c:v>2.3 - Certifications</c:v>
                </c:pt>
                <c:pt idx="3">
                  <c:v>2.4 - Relevant Experience</c:v>
                </c:pt>
                <c:pt idx="4">
                  <c:v>2.5 - Skills Assessment</c:v>
                </c:pt>
                <c:pt idx="5">
                  <c:v>2.6 - Career Path</c:v>
                </c:pt>
                <c:pt idx="6">
                  <c:v>2.7 - Leadership</c:v>
                </c:pt>
              </c:strCache>
            </c:strRef>
          </c:cat>
          <c:val>
            <c:numRef>
              <c:f>'Score Card - Percentage'!$D$10:$D$16</c:f>
              <c:numCache>
                <c:formatCode>0%</c:formatCode>
                <c:ptCount val="7"/>
                <c:pt idx="0">
                  <c:v>0</c:v>
                </c:pt>
                <c:pt idx="1">
                  <c:v>0</c:v>
                </c:pt>
                <c:pt idx="2">
                  <c:v>0</c:v>
                </c:pt>
                <c:pt idx="3">
                  <c:v>0</c:v>
                </c:pt>
                <c:pt idx="4">
                  <c:v>0</c:v>
                </c:pt>
                <c:pt idx="5">
                  <c:v>0</c:v>
                </c:pt>
                <c:pt idx="6">
                  <c:v>0</c:v>
                </c:pt>
              </c:numCache>
            </c:numRef>
          </c:val>
          <c:extLst>
            <c:ext xmlns:c16="http://schemas.microsoft.com/office/drawing/2014/chart" uri="{C3380CC4-5D6E-409C-BE32-E72D297353CC}">
              <c16:uniqueId val="{00000001-FAB4-49B8-8445-B981D9D2FE97}"/>
            </c:ext>
          </c:extLst>
        </c:ser>
        <c:ser>
          <c:idx val="2"/>
          <c:order val="2"/>
          <c:tx>
            <c:strRef>
              <c:f>'Score Card - Graphs'!$E$3</c:f>
              <c:strCache>
                <c:ptCount val="1"/>
                <c:pt idx="0">
                  <c:v>Recommended</c:v>
                </c:pt>
              </c:strCache>
            </c:strRef>
          </c:tx>
          <c:cat>
            <c:strRef>
              <c:f>'Score Card - Percentage'!$B$10:$B$16</c:f>
              <c:strCache>
                <c:ptCount val="7"/>
                <c:pt idx="0">
                  <c:v>2.1 - Resourcing</c:v>
                </c:pt>
                <c:pt idx="1">
                  <c:v>2.2 - Training</c:v>
                </c:pt>
                <c:pt idx="2">
                  <c:v>2.3 - Certifications</c:v>
                </c:pt>
                <c:pt idx="3">
                  <c:v>2.4 - Relevant Experience</c:v>
                </c:pt>
                <c:pt idx="4">
                  <c:v>2.5 - Skills Assessment</c:v>
                </c:pt>
                <c:pt idx="5">
                  <c:v>2.6 - Career Path</c:v>
                </c:pt>
                <c:pt idx="6">
                  <c:v>2.7 - Leadership</c:v>
                </c:pt>
              </c:strCache>
            </c:strRef>
          </c:cat>
          <c:val>
            <c:numRef>
              <c:f>'Score Card - Percentage'!$E$10:$E$16</c:f>
              <c:numCache>
                <c:formatCode>0%</c:formatCode>
                <c:ptCount val="7"/>
                <c:pt idx="0">
                  <c:v>0.8</c:v>
                </c:pt>
                <c:pt idx="1">
                  <c:v>0.8</c:v>
                </c:pt>
                <c:pt idx="2">
                  <c:v>0.8</c:v>
                </c:pt>
                <c:pt idx="3">
                  <c:v>0.8</c:v>
                </c:pt>
                <c:pt idx="4">
                  <c:v>0.8</c:v>
                </c:pt>
                <c:pt idx="5">
                  <c:v>0.8</c:v>
                </c:pt>
                <c:pt idx="6">
                  <c:v>0.8</c:v>
                </c:pt>
              </c:numCache>
            </c:numRef>
          </c:val>
          <c:extLst>
            <c:ext xmlns:c16="http://schemas.microsoft.com/office/drawing/2014/chart" uri="{C3380CC4-5D6E-409C-BE32-E72D297353CC}">
              <c16:uniqueId val="{00000002-FAB4-49B8-8445-B981D9D2FE97}"/>
            </c:ext>
          </c:extLst>
        </c:ser>
        <c:dLbls>
          <c:showLegendKey val="0"/>
          <c:showVal val="0"/>
          <c:showCatName val="0"/>
          <c:showSerName val="0"/>
          <c:showPercent val="0"/>
          <c:showBubbleSize val="0"/>
        </c:dLbls>
        <c:axId val="200009216"/>
        <c:axId val="207513472"/>
      </c:radarChart>
      <c:catAx>
        <c:axId val="200009216"/>
        <c:scaling>
          <c:orientation val="minMax"/>
        </c:scaling>
        <c:delete val="0"/>
        <c:axPos val="b"/>
        <c:majorGridlines/>
        <c:numFmt formatCode="General" sourceLinked="0"/>
        <c:majorTickMark val="out"/>
        <c:minorTickMark val="none"/>
        <c:tickLblPos val="nextTo"/>
        <c:crossAx val="207513472"/>
        <c:crosses val="autoZero"/>
        <c:auto val="1"/>
        <c:lblAlgn val="ctr"/>
        <c:lblOffset val="100"/>
        <c:noMultiLvlLbl val="0"/>
      </c:catAx>
      <c:valAx>
        <c:axId val="207513472"/>
        <c:scaling>
          <c:orientation val="minMax"/>
          <c:max val="1"/>
        </c:scaling>
        <c:delete val="0"/>
        <c:axPos val="l"/>
        <c:majorGridlines/>
        <c:numFmt formatCode="0%" sourceLinked="1"/>
        <c:majorTickMark val="cross"/>
        <c:minorTickMark val="none"/>
        <c:tickLblPos val="nextTo"/>
        <c:crossAx val="200009216"/>
        <c:crosses val="autoZero"/>
        <c:crossBetween val="between"/>
      </c:valAx>
    </c:plotArea>
    <c:legend>
      <c:legendPos val="b"/>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radarChart>
        <c:radarStyle val="marker"/>
        <c:varyColors val="0"/>
        <c:ser>
          <c:idx val="0"/>
          <c:order val="0"/>
          <c:tx>
            <c:strRef>
              <c:f>'Score Card - Graphs'!$C$3</c:f>
              <c:strCache>
                <c:ptCount val="1"/>
                <c:pt idx="0">
                  <c:v>Assessed Score</c:v>
                </c:pt>
              </c:strCache>
            </c:strRef>
          </c:tx>
          <c:cat>
            <c:strRef>
              <c:f>'Score Card - Percentage'!$B$18:$B$23</c:f>
              <c:strCache>
                <c:ptCount val="6"/>
                <c:pt idx="0">
                  <c:v>3.1 - SOC Threat Management</c:v>
                </c:pt>
                <c:pt idx="1">
                  <c:v>3.2 - SOC Analytical Process</c:v>
                </c:pt>
                <c:pt idx="2">
                  <c:v>3.3 - SOC Engineering Processes</c:v>
                </c:pt>
                <c:pt idx="3">
                  <c:v>3.4 - SOC Operations and Continuity</c:v>
                </c:pt>
                <c:pt idx="4">
                  <c:v>3.5 - SOC Incident Coordination</c:v>
                </c:pt>
                <c:pt idx="5">
                  <c:v>3.6 - SOC Portfolio Management</c:v>
                </c:pt>
              </c:strCache>
            </c:strRef>
          </c:cat>
          <c:val>
            <c:numRef>
              <c:f>'Score Card - Percentage'!$C$18:$C$23</c:f>
              <c:numCache>
                <c:formatCode>0%</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0-87F3-4E9A-9B36-91391C40EEC4}"/>
            </c:ext>
          </c:extLst>
        </c:ser>
        <c:ser>
          <c:idx val="1"/>
          <c:order val="1"/>
          <c:tx>
            <c:strRef>
              <c:f>'Score Card - Graphs'!$D$3</c:f>
              <c:strCache>
                <c:ptCount val="1"/>
                <c:pt idx="0">
                  <c:v>Peer</c:v>
                </c:pt>
              </c:strCache>
            </c:strRef>
          </c:tx>
          <c:cat>
            <c:strRef>
              <c:f>'Score Card - Percentage'!$B$18:$B$23</c:f>
              <c:strCache>
                <c:ptCount val="6"/>
                <c:pt idx="0">
                  <c:v>3.1 - SOC Threat Management</c:v>
                </c:pt>
                <c:pt idx="1">
                  <c:v>3.2 - SOC Analytical Process</c:v>
                </c:pt>
                <c:pt idx="2">
                  <c:v>3.3 - SOC Engineering Processes</c:v>
                </c:pt>
                <c:pt idx="3">
                  <c:v>3.4 - SOC Operations and Continuity</c:v>
                </c:pt>
                <c:pt idx="4">
                  <c:v>3.5 - SOC Incident Coordination</c:v>
                </c:pt>
                <c:pt idx="5">
                  <c:v>3.6 - SOC Portfolio Management</c:v>
                </c:pt>
              </c:strCache>
            </c:strRef>
          </c:cat>
          <c:val>
            <c:numRef>
              <c:f>'Score Card - Percentage'!$D$18:$D$23</c:f>
              <c:numCache>
                <c:formatCode>0%</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1-87F3-4E9A-9B36-91391C40EEC4}"/>
            </c:ext>
          </c:extLst>
        </c:ser>
        <c:ser>
          <c:idx val="2"/>
          <c:order val="2"/>
          <c:tx>
            <c:strRef>
              <c:f>'Score Card - Graphs'!$E$3</c:f>
              <c:strCache>
                <c:ptCount val="1"/>
                <c:pt idx="0">
                  <c:v>Recommended</c:v>
                </c:pt>
              </c:strCache>
            </c:strRef>
          </c:tx>
          <c:cat>
            <c:strRef>
              <c:f>'Score Card - Percentage'!$B$18:$B$23</c:f>
              <c:strCache>
                <c:ptCount val="6"/>
                <c:pt idx="0">
                  <c:v>3.1 - SOC Threat Management</c:v>
                </c:pt>
                <c:pt idx="1">
                  <c:v>3.2 - SOC Analytical Process</c:v>
                </c:pt>
                <c:pt idx="2">
                  <c:v>3.3 - SOC Engineering Processes</c:v>
                </c:pt>
                <c:pt idx="3">
                  <c:v>3.4 - SOC Operations and Continuity</c:v>
                </c:pt>
                <c:pt idx="4">
                  <c:v>3.5 - SOC Incident Coordination</c:v>
                </c:pt>
                <c:pt idx="5">
                  <c:v>3.6 - SOC Portfolio Management</c:v>
                </c:pt>
              </c:strCache>
            </c:strRef>
          </c:cat>
          <c:val>
            <c:numRef>
              <c:f>'Score Card - Percentage'!$E$18:$E$23</c:f>
              <c:numCache>
                <c:formatCode>0%</c:formatCode>
                <c:ptCount val="6"/>
                <c:pt idx="0">
                  <c:v>0.8</c:v>
                </c:pt>
                <c:pt idx="1">
                  <c:v>0.79130434782608694</c:v>
                </c:pt>
                <c:pt idx="2">
                  <c:v>0.8</c:v>
                </c:pt>
                <c:pt idx="3">
                  <c:v>0.8</c:v>
                </c:pt>
                <c:pt idx="4">
                  <c:v>0.8</c:v>
                </c:pt>
                <c:pt idx="5">
                  <c:v>0.8</c:v>
                </c:pt>
              </c:numCache>
            </c:numRef>
          </c:val>
          <c:extLst>
            <c:ext xmlns:c16="http://schemas.microsoft.com/office/drawing/2014/chart" uri="{C3380CC4-5D6E-409C-BE32-E72D297353CC}">
              <c16:uniqueId val="{00000002-87F3-4E9A-9B36-91391C40EEC4}"/>
            </c:ext>
          </c:extLst>
        </c:ser>
        <c:dLbls>
          <c:showLegendKey val="0"/>
          <c:showVal val="0"/>
          <c:showCatName val="0"/>
          <c:showSerName val="0"/>
          <c:showPercent val="0"/>
          <c:showBubbleSize val="0"/>
        </c:dLbls>
        <c:axId val="219144960"/>
        <c:axId val="219146496"/>
      </c:radarChart>
      <c:catAx>
        <c:axId val="219144960"/>
        <c:scaling>
          <c:orientation val="minMax"/>
        </c:scaling>
        <c:delete val="0"/>
        <c:axPos val="b"/>
        <c:majorGridlines/>
        <c:numFmt formatCode="General" sourceLinked="0"/>
        <c:majorTickMark val="out"/>
        <c:minorTickMark val="none"/>
        <c:tickLblPos val="nextTo"/>
        <c:crossAx val="219146496"/>
        <c:crosses val="autoZero"/>
        <c:auto val="1"/>
        <c:lblAlgn val="ctr"/>
        <c:lblOffset val="100"/>
        <c:noMultiLvlLbl val="0"/>
      </c:catAx>
      <c:valAx>
        <c:axId val="219146496"/>
        <c:scaling>
          <c:orientation val="minMax"/>
          <c:max val="1"/>
        </c:scaling>
        <c:delete val="0"/>
        <c:axPos val="l"/>
        <c:majorGridlines/>
        <c:numFmt formatCode="0%" sourceLinked="1"/>
        <c:majorTickMark val="cross"/>
        <c:minorTickMark val="none"/>
        <c:tickLblPos val="nextTo"/>
        <c:crossAx val="219144960"/>
        <c:crosses val="autoZero"/>
        <c:crossBetween val="between"/>
      </c:valAx>
    </c:plotArea>
    <c:legend>
      <c:legendPos val="b"/>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radarChart>
        <c:radarStyle val="marker"/>
        <c:varyColors val="0"/>
        <c:ser>
          <c:idx val="0"/>
          <c:order val="0"/>
          <c:tx>
            <c:strRef>
              <c:f>'Score Card - Graphs'!$C$3</c:f>
              <c:strCache>
                <c:ptCount val="1"/>
                <c:pt idx="0">
                  <c:v>Assessed Score</c:v>
                </c:pt>
              </c:strCache>
            </c:strRef>
          </c:tx>
          <c:cat>
            <c:strRef>
              <c:f>'Score Card - Percentage'!$B$25:$B$31</c:f>
              <c:strCache>
                <c:ptCount val="7"/>
                <c:pt idx="0">
                  <c:v>4.1 - Security Information and Event Management</c:v>
                </c:pt>
                <c:pt idx="1">
                  <c:v>4.2 - Intelligence Correlation</c:v>
                </c:pt>
                <c:pt idx="2">
                  <c:v>4.3 - Architecture</c:v>
                </c:pt>
                <c:pt idx="3">
                  <c:v>4.4 - Correlation</c:v>
                </c:pt>
                <c:pt idx="4">
                  <c:v>4.5 - Reporting</c:v>
                </c:pt>
                <c:pt idx="5">
                  <c:v>4.6 - SOC Engineering</c:v>
                </c:pt>
                <c:pt idx="6">
                  <c:v>4.7 - SOC Information Lifecycle Management</c:v>
                </c:pt>
              </c:strCache>
            </c:strRef>
          </c:cat>
          <c:val>
            <c:numRef>
              <c:f>'Score Card - Percentage'!$C$25:$C$31</c:f>
              <c:numCache>
                <c:formatCode>0%</c:formatCode>
                <c:ptCount val="7"/>
                <c:pt idx="0">
                  <c:v>0</c:v>
                </c:pt>
                <c:pt idx="1">
                  <c:v>0</c:v>
                </c:pt>
                <c:pt idx="2">
                  <c:v>0</c:v>
                </c:pt>
                <c:pt idx="3">
                  <c:v>0</c:v>
                </c:pt>
                <c:pt idx="4">
                  <c:v>0</c:v>
                </c:pt>
                <c:pt idx="5">
                  <c:v>0</c:v>
                </c:pt>
                <c:pt idx="6">
                  <c:v>0</c:v>
                </c:pt>
              </c:numCache>
            </c:numRef>
          </c:val>
          <c:extLst>
            <c:ext xmlns:c16="http://schemas.microsoft.com/office/drawing/2014/chart" uri="{C3380CC4-5D6E-409C-BE32-E72D297353CC}">
              <c16:uniqueId val="{00000000-4E53-4A7D-BEEB-E102195BCB0A}"/>
            </c:ext>
          </c:extLst>
        </c:ser>
        <c:ser>
          <c:idx val="1"/>
          <c:order val="1"/>
          <c:tx>
            <c:strRef>
              <c:f>'Score Card - Graphs'!$D$3</c:f>
              <c:strCache>
                <c:ptCount val="1"/>
                <c:pt idx="0">
                  <c:v>Peer</c:v>
                </c:pt>
              </c:strCache>
            </c:strRef>
          </c:tx>
          <c:cat>
            <c:strRef>
              <c:f>'Score Card - Percentage'!$B$25:$B$31</c:f>
              <c:strCache>
                <c:ptCount val="7"/>
                <c:pt idx="0">
                  <c:v>4.1 - Security Information and Event Management</c:v>
                </c:pt>
                <c:pt idx="1">
                  <c:v>4.2 - Intelligence Correlation</c:v>
                </c:pt>
                <c:pt idx="2">
                  <c:v>4.3 - Architecture</c:v>
                </c:pt>
                <c:pt idx="3">
                  <c:v>4.4 - Correlation</c:v>
                </c:pt>
                <c:pt idx="4">
                  <c:v>4.5 - Reporting</c:v>
                </c:pt>
                <c:pt idx="5">
                  <c:v>4.6 - SOC Engineering</c:v>
                </c:pt>
                <c:pt idx="6">
                  <c:v>4.7 - SOC Information Lifecycle Management</c:v>
                </c:pt>
              </c:strCache>
            </c:strRef>
          </c:cat>
          <c:val>
            <c:numRef>
              <c:f>'Score Card - Percentage'!$D$25:$D$31</c:f>
              <c:numCache>
                <c:formatCode>0%</c:formatCode>
                <c:ptCount val="7"/>
                <c:pt idx="0">
                  <c:v>0</c:v>
                </c:pt>
                <c:pt idx="1">
                  <c:v>0</c:v>
                </c:pt>
                <c:pt idx="2">
                  <c:v>0</c:v>
                </c:pt>
                <c:pt idx="3">
                  <c:v>0</c:v>
                </c:pt>
                <c:pt idx="4">
                  <c:v>0</c:v>
                </c:pt>
                <c:pt idx="5">
                  <c:v>0</c:v>
                </c:pt>
                <c:pt idx="6">
                  <c:v>0</c:v>
                </c:pt>
              </c:numCache>
            </c:numRef>
          </c:val>
          <c:extLst>
            <c:ext xmlns:c16="http://schemas.microsoft.com/office/drawing/2014/chart" uri="{C3380CC4-5D6E-409C-BE32-E72D297353CC}">
              <c16:uniqueId val="{00000001-4E53-4A7D-BEEB-E102195BCB0A}"/>
            </c:ext>
          </c:extLst>
        </c:ser>
        <c:ser>
          <c:idx val="2"/>
          <c:order val="2"/>
          <c:tx>
            <c:strRef>
              <c:f>'Score Card - Graphs'!$E$3</c:f>
              <c:strCache>
                <c:ptCount val="1"/>
                <c:pt idx="0">
                  <c:v>Recommended</c:v>
                </c:pt>
              </c:strCache>
            </c:strRef>
          </c:tx>
          <c:cat>
            <c:strRef>
              <c:f>'Score Card - Percentage'!$B$25:$B$31</c:f>
              <c:strCache>
                <c:ptCount val="7"/>
                <c:pt idx="0">
                  <c:v>4.1 - Security Information and Event Management</c:v>
                </c:pt>
                <c:pt idx="1">
                  <c:v>4.2 - Intelligence Correlation</c:v>
                </c:pt>
                <c:pt idx="2">
                  <c:v>4.3 - Architecture</c:v>
                </c:pt>
                <c:pt idx="3">
                  <c:v>4.4 - Correlation</c:v>
                </c:pt>
                <c:pt idx="4">
                  <c:v>4.5 - Reporting</c:v>
                </c:pt>
                <c:pt idx="5">
                  <c:v>4.6 - SOC Engineering</c:v>
                </c:pt>
                <c:pt idx="6">
                  <c:v>4.7 - SOC Information Lifecycle Management</c:v>
                </c:pt>
              </c:strCache>
            </c:strRef>
          </c:cat>
          <c:val>
            <c:numRef>
              <c:f>'Score Card - Percentage'!$E$25:$E$31</c:f>
              <c:numCache>
                <c:formatCode>0%</c:formatCode>
                <c:ptCount val="7"/>
                <c:pt idx="0">
                  <c:v>0.8</c:v>
                </c:pt>
                <c:pt idx="1">
                  <c:v>0.8</c:v>
                </c:pt>
                <c:pt idx="2">
                  <c:v>0.8</c:v>
                </c:pt>
                <c:pt idx="3">
                  <c:v>0.8</c:v>
                </c:pt>
                <c:pt idx="4">
                  <c:v>0.8</c:v>
                </c:pt>
                <c:pt idx="5">
                  <c:v>0.8</c:v>
                </c:pt>
                <c:pt idx="6">
                  <c:v>0.8</c:v>
                </c:pt>
              </c:numCache>
            </c:numRef>
          </c:val>
          <c:extLst>
            <c:ext xmlns:c16="http://schemas.microsoft.com/office/drawing/2014/chart" uri="{C3380CC4-5D6E-409C-BE32-E72D297353CC}">
              <c16:uniqueId val="{00000002-4E53-4A7D-BEEB-E102195BCB0A}"/>
            </c:ext>
          </c:extLst>
        </c:ser>
        <c:dLbls>
          <c:showLegendKey val="0"/>
          <c:showVal val="0"/>
          <c:showCatName val="0"/>
          <c:showSerName val="0"/>
          <c:showPercent val="0"/>
          <c:showBubbleSize val="0"/>
        </c:dLbls>
        <c:axId val="79469952"/>
        <c:axId val="79471744"/>
      </c:radarChart>
      <c:catAx>
        <c:axId val="79469952"/>
        <c:scaling>
          <c:orientation val="minMax"/>
        </c:scaling>
        <c:delete val="0"/>
        <c:axPos val="b"/>
        <c:majorGridlines/>
        <c:numFmt formatCode="General" sourceLinked="0"/>
        <c:majorTickMark val="out"/>
        <c:minorTickMark val="none"/>
        <c:tickLblPos val="nextTo"/>
        <c:crossAx val="79471744"/>
        <c:crosses val="autoZero"/>
        <c:auto val="1"/>
        <c:lblAlgn val="ctr"/>
        <c:lblOffset val="100"/>
        <c:noMultiLvlLbl val="0"/>
      </c:catAx>
      <c:valAx>
        <c:axId val="79471744"/>
        <c:scaling>
          <c:orientation val="minMax"/>
          <c:max val="1"/>
        </c:scaling>
        <c:delete val="0"/>
        <c:axPos val="l"/>
        <c:majorGridlines/>
        <c:numFmt formatCode="0%" sourceLinked="1"/>
        <c:majorTickMark val="cross"/>
        <c:minorTickMark val="none"/>
        <c:tickLblPos val="nextTo"/>
        <c:crossAx val="79469952"/>
        <c:crosses val="autoZero"/>
        <c:crossBetween val="between"/>
      </c:valAx>
    </c:plotArea>
    <c:legend>
      <c:legendPos val="b"/>
      <c:overlay val="0"/>
    </c:legend>
    <c:plotVisOnly val="1"/>
    <c:dispBlanksAs val="gap"/>
    <c:showDLblsOverMax val="0"/>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radarChart>
        <c:radarStyle val="marker"/>
        <c:varyColors val="0"/>
        <c:ser>
          <c:idx val="0"/>
          <c:order val="0"/>
          <c:tx>
            <c:strRef>
              <c:f>'Score Card - Graphs'!$C$3</c:f>
              <c:strCache>
                <c:ptCount val="1"/>
                <c:pt idx="0">
                  <c:v>Assessed Score</c:v>
                </c:pt>
              </c:strCache>
            </c:strRef>
          </c:tx>
          <c:cat>
            <c:strRef>
              <c:f>'Score Card - Percentage'!$B$33:$B$39</c:f>
              <c:strCache>
                <c:ptCount val="7"/>
                <c:pt idx="0">
                  <c:v>5.1 - Infrastructure Event Coverage</c:v>
                </c:pt>
                <c:pt idx="1">
                  <c:v>5.2 - Security Devices Coverage</c:v>
                </c:pt>
                <c:pt idx="2">
                  <c:v>5.3 - Advanced Threat Coverage</c:v>
                </c:pt>
                <c:pt idx="3">
                  <c:v>5.4 - Network Device Coverage</c:v>
                </c:pt>
                <c:pt idx="4">
                  <c:v>5.5 - Application Coverage</c:v>
                </c:pt>
                <c:pt idx="5">
                  <c:v>5.6 - Use Case Enablers</c:v>
                </c:pt>
                <c:pt idx="6">
                  <c:v>5.7 - Reports</c:v>
                </c:pt>
              </c:strCache>
            </c:strRef>
          </c:cat>
          <c:val>
            <c:numRef>
              <c:f>'Score Card - Percentage'!$C$33:$C$39</c:f>
              <c:numCache>
                <c:formatCode>0%</c:formatCode>
                <c:ptCount val="7"/>
                <c:pt idx="0">
                  <c:v>0</c:v>
                </c:pt>
                <c:pt idx="1">
                  <c:v>0</c:v>
                </c:pt>
                <c:pt idx="2">
                  <c:v>0</c:v>
                </c:pt>
                <c:pt idx="3">
                  <c:v>0</c:v>
                </c:pt>
                <c:pt idx="4">
                  <c:v>0</c:v>
                </c:pt>
                <c:pt idx="5">
                  <c:v>0</c:v>
                </c:pt>
                <c:pt idx="6">
                  <c:v>0</c:v>
                </c:pt>
              </c:numCache>
            </c:numRef>
          </c:val>
          <c:extLst>
            <c:ext xmlns:c16="http://schemas.microsoft.com/office/drawing/2014/chart" uri="{C3380CC4-5D6E-409C-BE32-E72D297353CC}">
              <c16:uniqueId val="{00000000-00B9-4805-8ADE-CDFB0DDD1FC1}"/>
            </c:ext>
          </c:extLst>
        </c:ser>
        <c:ser>
          <c:idx val="1"/>
          <c:order val="1"/>
          <c:tx>
            <c:strRef>
              <c:f>'Score Card - Graphs'!$D$3</c:f>
              <c:strCache>
                <c:ptCount val="1"/>
                <c:pt idx="0">
                  <c:v>Peer</c:v>
                </c:pt>
              </c:strCache>
            </c:strRef>
          </c:tx>
          <c:cat>
            <c:strRef>
              <c:f>'Score Card - Percentage'!$B$33:$B$39</c:f>
              <c:strCache>
                <c:ptCount val="7"/>
                <c:pt idx="0">
                  <c:v>5.1 - Infrastructure Event Coverage</c:v>
                </c:pt>
                <c:pt idx="1">
                  <c:v>5.2 - Security Devices Coverage</c:v>
                </c:pt>
                <c:pt idx="2">
                  <c:v>5.3 - Advanced Threat Coverage</c:v>
                </c:pt>
                <c:pt idx="3">
                  <c:v>5.4 - Network Device Coverage</c:v>
                </c:pt>
                <c:pt idx="4">
                  <c:v>5.5 - Application Coverage</c:v>
                </c:pt>
                <c:pt idx="5">
                  <c:v>5.6 - Use Case Enablers</c:v>
                </c:pt>
                <c:pt idx="6">
                  <c:v>5.7 - Reports</c:v>
                </c:pt>
              </c:strCache>
            </c:strRef>
          </c:cat>
          <c:val>
            <c:numRef>
              <c:f>'Score Card - Percentage'!$D$33:$D$39</c:f>
              <c:numCache>
                <c:formatCode>0%</c:formatCode>
                <c:ptCount val="7"/>
                <c:pt idx="0">
                  <c:v>0</c:v>
                </c:pt>
                <c:pt idx="1">
                  <c:v>0</c:v>
                </c:pt>
                <c:pt idx="2">
                  <c:v>0</c:v>
                </c:pt>
                <c:pt idx="3">
                  <c:v>0</c:v>
                </c:pt>
                <c:pt idx="4">
                  <c:v>0</c:v>
                </c:pt>
                <c:pt idx="5">
                  <c:v>0</c:v>
                </c:pt>
                <c:pt idx="6">
                  <c:v>0</c:v>
                </c:pt>
              </c:numCache>
            </c:numRef>
          </c:val>
          <c:extLst>
            <c:ext xmlns:c16="http://schemas.microsoft.com/office/drawing/2014/chart" uri="{C3380CC4-5D6E-409C-BE32-E72D297353CC}">
              <c16:uniqueId val="{00000001-00B9-4805-8ADE-CDFB0DDD1FC1}"/>
            </c:ext>
          </c:extLst>
        </c:ser>
        <c:ser>
          <c:idx val="2"/>
          <c:order val="2"/>
          <c:tx>
            <c:strRef>
              <c:f>'Score Card - Graphs'!$E$3</c:f>
              <c:strCache>
                <c:ptCount val="1"/>
                <c:pt idx="0">
                  <c:v>Recommended</c:v>
                </c:pt>
              </c:strCache>
            </c:strRef>
          </c:tx>
          <c:cat>
            <c:strRef>
              <c:f>'Score Card - Percentage'!$B$33:$B$39</c:f>
              <c:strCache>
                <c:ptCount val="7"/>
                <c:pt idx="0">
                  <c:v>5.1 - Infrastructure Event Coverage</c:v>
                </c:pt>
                <c:pt idx="1">
                  <c:v>5.2 - Security Devices Coverage</c:v>
                </c:pt>
                <c:pt idx="2">
                  <c:v>5.3 - Advanced Threat Coverage</c:v>
                </c:pt>
                <c:pt idx="3">
                  <c:v>5.4 - Network Device Coverage</c:v>
                </c:pt>
                <c:pt idx="4">
                  <c:v>5.5 - Application Coverage</c:v>
                </c:pt>
                <c:pt idx="5">
                  <c:v>5.6 - Use Case Enablers</c:v>
                </c:pt>
                <c:pt idx="6">
                  <c:v>5.7 - Reports</c:v>
                </c:pt>
              </c:strCache>
            </c:strRef>
          </c:cat>
          <c:val>
            <c:numRef>
              <c:f>'Score Card - Percentage'!$E$33:$E$39</c:f>
              <c:numCache>
                <c:formatCode>0%</c:formatCode>
                <c:ptCount val="7"/>
                <c:pt idx="0">
                  <c:v>0.8</c:v>
                </c:pt>
                <c:pt idx="1">
                  <c:v>0.8</c:v>
                </c:pt>
                <c:pt idx="2">
                  <c:v>0.8</c:v>
                </c:pt>
                <c:pt idx="3">
                  <c:v>0.8</c:v>
                </c:pt>
                <c:pt idx="4">
                  <c:v>0.8</c:v>
                </c:pt>
                <c:pt idx="5">
                  <c:v>0.8</c:v>
                </c:pt>
                <c:pt idx="6">
                  <c:v>0.8</c:v>
                </c:pt>
              </c:numCache>
            </c:numRef>
          </c:val>
          <c:extLst>
            <c:ext xmlns:c16="http://schemas.microsoft.com/office/drawing/2014/chart" uri="{C3380CC4-5D6E-409C-BE32-E72D297353CC}">
              <c16:uniqueId val="{00000002-00B9-4805-8ADE-CDFB0DDD1FC1}"/>
            </c:ext>
          </c:extLst>
        </c:ser>
        <c:dLbls>
          <c:showLegendKey val="0"/>
          <c:showVal val="0"/>
          <c:showCatName val="0"/>
          <c:showSerName val="0"/>
          <c:showPercent val="0"/>
          <c:showBubbleSize val="0"/>
        </c:dLbls>
        <c:axId val="79485184"/>
        <c:axId val="84721664"/>
      </c:radarChart>
      <c:catAx>
        <c:axId val="79485184"/>
        <c:scaling>
          <c:orientation val="minMax"/>
        </c:scaling>
        <c:delete val="0"/>
        <c:axPos val="b"/>
        <c:majorGridlines/>
        <c:numFmt formatCode="General" sourceLinked="0"/>
        <c:majorTickMark val="out"/>
        <c:minorTickMark val="none"/>
        <c:tickLblPos val="nextTo"/>
        <c:crossAx val="84721664"/>
        <c:crosses val="autoZero"/>
        <c:auto val="1"/>
        <c:lblAlgn val="ctr"/>
        <c:lblOffset val="100"/>
        <c:noMultiLvlLbl val="0"/>
      </c:catAx>
      <c:valAx>
        <c:axId val="84721664"/>
        <c:scaling>
          <c:orientation val="minMax"/>
          <c:max val="1"/>
        </c:scaling>
        <c:delete val="0"/>
        <c:axPos val="l"/>
        <c:majorGridlines/>
        <c:numFmt formatCode="0%" sourceLinked="1"/>
        <c:majorTickMark val="cross"/>
        <c:minorTickMark val="none"/>
        <c:tickLblPos val="nextTo"/>
        <c:crossAx val="79485184"/>
        <c:crosses val="autoZero"/>
        <c:crossBetween val="between"/>
      </c:valAx>
    </c:plotArea>
    <c:legend>
      <c:legendPos val="b"/>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19049</xdr:colOff>
      <xdr:row>4</xdr:row>
      <xdr:rowOff>71436</xdr:rowOff>
    </xdr:from>
    <xdr:to>
      <xdr:col>1</xdr:col>
      <xdr:colOff>2819400</xdr:colOff>
      <xdr:row>17</xdr:row>
      <xdr:rowOff>180975</xdr:rowOff>
    </xdr:to>
    <xdr:graphicFrame macro="">
      <xdr:nvGraphicFramePr>
        <xdr:cNvPr id="3" name="Chart 2">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47625</xdr:colOff>
      <xdr:row>19</xdr:row>
      <xdr:rowOff>38100</xdr:rowOff>
    </xdr:from>
    <xdr:to>
      <xdr:col>1</xdr:col>
      <xdr:colOff>2847976</xdr:colOff>
      <xdr:row>33</xdr:row>
      <xdr:rowOff>128589</xdr:rowOff>
    </xdr:to>
    <xdr:graphicFrame macro="">
      <xdr:nvGraphicFramePr>
        <xdr:cNvPr id="5" name="Chart 4">
          <a:extLst>
            <a:ext uri="{FF2B5EF4-FFF2-40B4-BE49-F238E27FC236}">
              <a16:creationId xmlns:a16="http://schemas.microsoft.com/office/drawing/2014/main" id="{00000000-0008-0000-02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66675</xdr:colOff>
      <xdr:row>36</xdr:row>
      <xdr:rowOff>190500</xdr:rowOff>
    </xdr:from>
    <xdr:to>
      <xdr:col>1</xdr:col>
      <xdr:colOff>2867026</xdr:colOff>
      <xdr:row>51</xdr:row>
      <xdr:rowOff>14289</xdr:rowOff>
    </xdr:to>
    <xdr:graphicFrame macro="">
      <xdr:nvGraphicFramePr>
        <xdr:cNvPr id="8" name="Chart 7">
          <a:extLst>
            <a:ext uri="{FF2B5EF4-FFF2-40B4-BE49-F238E27FC236}">
              <a16:creationId xmlns:a16="http://schemas.microsoft.com/office/drawing/2014/main" id="{00000000-0008-0000-02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47625</xdr:colOff>
      <xdr:row>56</xdr:row>
      <xdr:rowOff>76200</xdr:rowOff>
    </xdr:from>
    <xdr:to>
      <xdr:col>1</xdr:col>
      <xdr:colOff>2847976</xdr:colOff>
      <xdr:row>70</xdr:row>
      <xdr:rowOff>166689</xdr:rowOff>
    </xdr:to>
    <xdr:graphicFrame macro="">
      <xdr:nvGraphicFramePr>
        <xdr:cNvPr id="9" name="Chart 8">
          <a:extLst>
            <a:ext uri="{FF2B5EF4-FFF2-40B4-BE49-F238E27FC236}">
              <a16:creationId xmlns:a16="http://schemas.microsoft.com/office/drawing/2014/main" id="{00000000-0008-0000-02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9525</xdr:colOff>
      <xdr:row>75</xdr:row>
      <xdr:rowOff>57150</xdr:rowOff>
    </xdr:from>
    <xdr:to>
      <xdr:col>1</xdr:col>
      <xdr:colOff>2809876</xdr:colOff>
      <xdr:row>89</xdr:row>
      <xdr:rowOff>147639</xdr:rowOff>
    </xdr:to>
    <xdr:graphicFrame macro="">
      <xdr:nvGraphicFramePr>
        <xdr:cNvPr id="10" name="Chart 9">
          <a:extLst>
            <a:ext uri="{FF2B5EF4-FFF2-40B4-BE49-F238E27FC236}">
              <a16:creationId xmlns:a16="http://schemas.microsoft.com/office/drawing/2014/main" id="{00000000-0008-0000-02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24849</xdr:colOff>
      <xdr:row>0</xdr:row>
      <xdr:rowOff>41413</xdr:rowOff>
    </xdr:from>
    <xdr:to>
      <xdr:col>0</xdr:col>
      <xdr:colOff>1258957</xdr:colOff>
      <xdr:row>0</xdr:row>
      <xdr:rowOff>291467</xdr:rowOff>
    </xdr:to>
    <xdr:pic>
      <xdr:nvPicPr>
        <xdr:cNvPr id="2" name="Picture 1" descr="http://capitalbusiness.me/files/2012/05/DEL_COL.jpg">
          <a:extLst>
            <a:ext uri="{FF2B5EF4-FFF2-40B4-BE49-F238E27FC236}">
              <a16:creationId xmlns:a16="http://schemas.microsoft.com/office/drawing/2014/main" id="{00000000-0008-0000-07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849" y="41413"/>
          <a:ext cx="1229967" cy="2500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24849</xdr:colOff>
      <xdr:row>0</xdr:row>
      <xdr:rowOff>41413</xdr:rowOff>
    </xdr:from>
    <xdr:to>
      <xdr:col>0</xdr:col>
      <xdr:colOff>1258957</xdr:colOff>
      <xdr:row>0</xdr:row>
      <xdr:rowOff>291467</xdr:rowOff>
    </xdr:to>
    <xdr:pic>
      <xdr:nvPicPr>
        <xdr:cNvPr id="2" name="Picture 1" descr="http://capitalbusiness.me/files/2012/05/DEL_COL.jpg">
          <a:extLst>
            <a:ext uri="{FF2B5EF4-FFF2-40B4-BE49-F238E27FC236}">
              <a16:creationId xmlns:a16="http://schemas.microsoft.com/office/drawing/2014/main" id="{00000000-0008-0000-08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849" y="41413"/>
          <a:ext cx="1234108" cy="2500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66262</xdr:colOff>
      <xdr:row>0</xdr:row>
      <xdr:rowOff>49696</xdr:rowOff>
    </xdr:from>
    <xdr:to>
      <xdr:col>1</xdr:col>
      <xdr:colOff>803415</xdr:colOff>
      <xdr:row>0</xdr:row>
      <xdr:rowOff>273470</xdr:rowOff>
    </xdr:to>
    <xdr:pic>
      <xdr:nvPicPr>
        <xdr:cNvPr id="2" name="Picture 1" descr="http://capitalbusiness.me/files/2012/05/DEL_COL.jpg">
          <a:extLst>
            <a:ext uri="{FF2B5EF4-FFF2-40B4-BE49-F238E27FC236}">
              <a16:creationId xmlns:a16="http://schemas.microsoft.com/office/drawing/2014/main" id="{00000000-0008-0000-0B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262" y="49696"/>
          <a:ext cx="1194353" cy="22377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24849</xdr:colOff>
      <xdr:row>0</xdr:row>
      <xdr:rowOff>41413</xdr:rowOff>
    </xdr:from>
    <xdr:to>
      <xdr:col>0</xdr:col>
      <xdr:colOff>1374913</xdr:colOff>
      <xdr:row>1</xdr:row>
      <xdr:rowOff>3313</xdr:rowOff>
    </xdr:to>
    <xdr:pic>
      <xdr:nvPicPr>
        <xdr:cNvPr id="2" name="Picture 1" descr="http://capitalbusiness.me/files/2012/05/DEL_COL.jpg">
          <a:extLst>
            <a:ext uri="{FF2B5EF4-FFF2-40B4-BE49-F238E27FC236}">
              <a16:creationId xmlns:a16="http://schemas.microsoft.com/office/drawing/2014/main" id="{00000000-0008-0000-0D00-000002000000}"/>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849" y="41413"/>
          <a:ext cx="1346751"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24849</xdr:colOff>
      <xdr:row>0</xdr:row>
      <xdr:rowOff>41413</xdr:rowOff>
    </xdr:from>
    <xdr:to>
      <xdr:col>0</xdr:col>
      <xdr:colOff>1374913</xdr:colOff>
      <xdr:row>1</xdr:row>
      <xdr:rowOff>3313</xdr:rowOff>
    </xdr:to>
    <xdr:pic>
      <xdr:nvPicPr>
        <xdr:cNvPr id="2" name="Picture 1" descr="http://capitalbusiness.me/files/2012/05/DEL_COL.jpg">
          <a:extLst>
            <a:ext uri="{FF2B5EF4-FFF2-40B4-BE49-F238E27FC236}">
              <a16:creationId xmlns:a16="http://schemas.microsoft.com/office/drawing/2014/main" id="{00000000-0008-0000-0E00-000002000000}"/>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849" y="41413"/>
          <a:ext cx="1350064"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oneCellAnchor>
    <xdr:from>
      <xdr:col>1</xdr:col>
      <xdr:colOff>2332033</xdr:colOff>
      <xdr:row>14</xdr:row>
      <xdr:rowOff>283277</xdr:rowOff>
    </xdr:from>
    <xdr:ext cx="9389676" cy="2690929"/>
    <xdr:sp macro="" textlink="">
      <xdr:nvSpPr>
        <xdr:cNvPr id="2" name="TextBox 1">
          <a:extLst>
            <a:ext uri="{FF2B5EF4-FFF2-40B4-BE49-F238E27FC236}">
              <a16:creationId xmlns:a16="http://schemas.microsoft.com/office/drawing/2014/main" id="{00000000-0008-0000-0F00-000002000000}"/>
            </a:ext>
          </a:extLst>
        </xdr:cNvPr>
        <xdr:cNvSpPr txBox="1"/>
      </xdr:nvSpPr>
      <xdr:spPr>
        <a:xfrm rot="19303945">
          <a:off x="2998783" y="2807402"/>
          <a:ext cx="9389676" cy="26909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16600" b="1">
              <a:solidFill>
                <a:srgbClr val="CBCBCB"/>
              </a:solidFill>
            </a:rPr>
            <a:t>SAMPLE</a:t>
          </a:r>
        </a:p>
      </xdr:txBody>
    </xdr:sp>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3.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4.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39"/>
  <sheetViews>
    <sheetView zoomScaleNormal="100" zoomScalePageLayoutView="85" workbookViewId="0">
      <pane ySplit="3" topLeftCell="A4" activePane="bottomLeft" state="frozen"/>
      <selection pane="bottomLeft" activeCell="C7" sqref="C7"/>
    </sheetView>
  </sheetViews>
  <sheetFormatPr baseColWidth="10" defaultColWidth="8.83203125" defaultRowHeight="21" x14ac:dyDescent="0.25"/>
  <cols>
    <col min="1" max="1" width="29.5" style="1" customWidth="1"/>
    <col min="2" max="2" width="55" style="1" customWidth="1"/>
    <col min="3" max="5" width="20" style="1" customWidth="1"/>
    <col min="6" max="6" width="27.83203125" style="1" bestFit="1" customWidth="1"/>
    <col min="7" max="16384" width="8.83203125" style="1"/>
  </cols>
  <sheetData>
    <row r="1" spans="1:11" s="58" customFormat="1" ht="29.25" customHeight="1" x14ac:dyDescent="0.2">
      <c r="A1" s="56"/>
      <c r="B1" s="57"/>
    </row>
    <row r="2" spans="1:11" s="77" customFormat="1" ht="30" customHeight="1" x14ac:dyDescent="0.2">
      <c r="A2" s="77" t="s">
        <v>0</v>
      </c>
      <c r="J2" s="78"/>
      <c r="K2" s="78"/>
    </row>
    <row r="3" spans="1:11" s="79" customFormat="1" ht="14" x14ac:dyDescent="0.15">
      <c r="A3" s="79" t="s">
        <v>1</v>
      </c>
      <c r="B3" s="79" t="s">
        <v>2</v>
      </c>
      <c r="C3" s="82" t="s">
        <v>3</v>
      </c>
      <c r="D3" s="82" t="s">
        <v>4</v>
      </c>
      <c r="E3" s="82" t="s">
        <v>5</v>
      </c>
    </row>
    <row r="4" spans="1:11" s="80" customFormat="1" ht="19" x14ac:dyDescent="0.25">
      <c r="A4" s="80" t="s">
        <v>6</v>
      </c>
    </row>
    <row r="5" spans="1:11" s="75" customFormat="1" ht="22.5" customHeight="1" x14ac:dyDescent="0.2">
      <c r="B5" s="75" t="str">
        <f>'1 - Mission and Governance'!B51</f>
        <v>1.1 - Mission</v>
      </c>
      <c r="C5" s="76">
        <f>'1 - Mission and Governance'!C51</f>
        <v>0</v>
      </c>
      <c r="D5" s="76">
        <f>'1 - Mission and Governance'!G51</f>
        <v>0</v>
      </c>
      <c r="E5" s="76">
        <f>'1 - Mission and Governance'!H51</f>
        <v>16</v>
      </c>
    </row>
    <row r="6" spans="1:11" s="75" customFormat="1" ht="22.5" customHeight="1" x14ac:dyDescent="0.2">
      <c r="B6" s="75" t="str">
        <f>'1 - Mission and Governance'!B52</f>
        <v>1.2 - Service Catalogue</v>
      </c>
      <c r="C6" s="76">
        <f>'1 - Mission and Governance'!C52</f>
        <v>0</v>
      </c>
      <c r="D6" s="76">
        <f>'1 - Mission and Governance'!G52</f>
        <v>0</v>
      </c>
      <c r="E6" s="76">
        <f>'1 - Mission and Governance'!H52</f>
        <v>32</v>
      </c>
    </row>
    <row r="7" spans="1:11" s="75" customFormat="1" ht="22.5" customHeight="1" x14ac:dyDescent="0.2">
      <c r="B7" s="75" t="str">
        <f>'1 - Mission and Governance'!B53</f>
        <v>1.3 - Governance</v>
      </c>
      <c r="C7" s="76">
        <f>'1 - Mission and Governance'!C53</f>
        <v>0</v>
      </c>
      <c r="D7" s="76">
        <f>'1 - Mission and Governance'!G53</f>
        <v>0</v>
      </c>
      <c r="E7" s="76">
        <f>'1 - Mission and Governance'!H53</f>
        <v>8</v>
      </c>
    </row>
    <row r="8" spans="1:11" s="75" customFormat="1" ht="22.5" customHeight="1" x14ac:dyDescent="0.2">
      <c r="B8" s="75" t="str">
        <f>'1 - Mission and Governance'!B54</f>
        <v>1.4 - Repeatability</v>
      </c>
      <c r="C8" s="76">
        <f>'1 - Mission and Governance'!C54</f>
        <v>0</v>
      </c>
      <c r="D8" s="76">
        <f>'1 - Mission and Governance'!G54</f>
        <v>0</v>
      </c>
      <c r="E8" s="76">
        <f>'1 - Mission and Governance'!H54</f>
        <v>36</v>
      </c>
    </row>
    <row r="9" spans="1:11" s="80" customFormat="1" ht="19" x14ac:dyDescent="0.25">
      <c r="A9" s="80" t="s">
        <v>7</v>
      </c>
    </row>
    <row r="10" spans="1:11" x14ac:dyDescent="0.25">
      <c r="B10" s="75" t="str">
        <f>'2 - People'!B95</f>
        <v>2.1 - Resourcing</v>
      </c>
      <c r="C10" s="76">
        <f>'2 - People'!C95</f>
        <v>0</v>
      </c>
      <c r="D10" s="76">
        <f>'2 - People'!G95</f>
        <v>0</v>
      </c>
      <c r="E10" s="76">
        <f>'2 - People'!H95</f>
        <v>84</v>
      </c>
    </row>
    <row r="11" spans="1:11" x14ac:dyDescent="0.25">
      <c r="B11" s="75" t="str">
        <f>'2 - People'!B96</f>
        <v>2.2 - Training</v>
      </c>
      <c r="C11" s="76">
        <f>'2 - People'!C96</f>
        <v>0</v>
      </c>
      <c r="D11" s="76">
        <f>'2 - People'!G96</f>
        <v>0</v>
      </c>
      <c r="E11" s="76">
        <f>'2 - People'!H96</f>
        <v>80</v>
      </c>
    </row>
    <row r="12" spans="1:11" x14ac:dyDescent="0.25">
      <c r="B12" s="75" t="str">
        <f>'2 - People'!B97</f>
        <v>2.3 - Certifications</v>
      </c>
      <c r="C12" s="76">
        <f>'2 - People'!C97</f>
        <v>0</v>
      </c>
      <c r="D12" s="76">
        <f>'2 - People'!G97</f>
        <v>0</v>
      </c>
      <c r="E12" s="76">
        <f>'2 - People'!H97</f>
        <v>36</v>
      </c>
    </row>
    <row r="13" spans="1:11" x14ac:dyDescent="0.25">
      <c r="B13" s="75" t="str">
        <f>'2 - People'!B98</f>
        <v>2.4 - Relevant Experience</v>
      </c>
      <c r="C13" s="76">
        <f>'2 - People'!C98</f>
        <v>0</v>
      </c>
      <c r="D13" s="76">
        <f>'2 - People'!G98</f>
        <v>0</v>
      </c>
      <c r="E13" s="76">
        <f>'2 - People'!H98</f>
        <v>32</v>
      </c>
    </row>
    <row r="14" spans="1:11" x14ac:dyDescent="0.25">
      <c r="B14" s="75" t="str">
        <f>'2 - People'!B99</f>
        <v>2.5 - Skills Assessment</v>
      </c>
      <c r="C14" s="76">
        <f>'2 - People'!C99</f>
        <v>0</v>
      </c>
      <c r="D14" s="76">
        <f>'2 - People'!G99</f>
        <v>0</v>
      </c>
      <c r="E14" s="76">
        <f>'2 - People'!H99</f>
        <v>24</v>
      </c>
    </row>
    <row r="15" spans="1:11" x14ac:dyDescent="0.25">
      <c r="B15" s="75" t="str">
        <f>'2 - People'!B100</f>
        <v>2.6 - Career Path</v>
      </c>
      <c r="C15" s="76">
        <f>'2 - People'!C100</f>
        <v>0</v>
      </c>
      <c r="D15" s="76">
        <f>'2 - People'!G100</f>
        <v>0</v>
      </c>
      <c r="E15" s="76">
        <f>'2 - People'!H100</f>
        <v>20</v>
      </c>
    </row>
    <row r="16" spans="1:11" x14ac:dyDescent="0.25">
      <c r="B16" s="75" t="str">
        <f>'2 - People'!B101</f>
        <v>2.7 - Leadership</v>
      </c>
      <c r="C16" s="76">
        <f>'2 - People'!C101</f>
        <v>0</v>
      </c>
      <c r="D16" s="76">
        <f>'2 - People'!G101</f>
        <v>0</v>
      </c>
      <c r="E16" s="76">
        <f>'2 - People'!H101</f>
        <v>48</v>
      </c>
    </row>
    <row r="17" spans="1:5" s="80" customFormat="1" ht="19" x14ac:dyDescent="0.25">
      <c r="A17" s="80" t="s">
        <v>8</v>
      </c>
    </row>
    <row r="18" spans="1:5" x14ac:dyDescent="0.25">
      <c r="B18" s="75" t="str">
        <f>'3 - Process'!B177</f>
        <v>3.1 - SOC Threat Management</v>
      </c>
      <c r="C18" s="76">
        <f>'3 - Process'!C177</f>
        <v>0</v>
      </c>
      <c r="D18" s="76">
        <f>'3 - Process'!G167</f>
        <v>0</v>
      </c>
      <c r="E18" s="81">
        <f>'3 - Process'!H167</f>
        <v>172</v>
      </c>
    </row>
    <row r="19" spans="1:5" x14ac:dyDescent="0.25">
      <c r="B19" s="75" t="str">
        <f>'3 - Process'!B178</f>
        <v>3.2 - SOC Analytical Process</v>
      </c>
      <c r="C19" s="76">
        <f>'3 - Process'!C178</f>
        <v>0</v>
      </c>
      <c r="D19" s="76">
        <f>'3 - Process'!G168</f>
        <v>0</v>
      </c>
      <c r="E19" s="81">
        <f>'3 - Process'!H168</f>
        <v>91</v>
      </c>
    </row>
    <row r="20" spans="1:5" x14ac:dyDescent="0.25">
      <c r="B20" s="75" t="str">
        <f>'3 - Process'!B179</f>
        <v>3.3 - SOC Engineering Processes</v>
      </c>
      <c r="C20" s="76">
        <f>'3 - Process'!C179</f>
        <v>0</v>
      </c>
      <c r="D20" s="76">
        <f>'3 - Process'!G169</f>
        <v>0</v>
      </c>
      <c r="E20" s="81">
        <f>'3 - Process'!H169</f>
        <v>48</v>
      </c>
    </row>
    <row r="21" spans="1:5" x14ac:dyDescent="0.25">
      <c r="B21" s="75" t="str">
        <f>'3 - Process'!B180</f>
        <v>3.4 - SOC Operations and Continuity</v>
      </c>
      <c r="C21" s="76">
        <f>'3 - Process'!C180</f>
        <v>0</v>
      </c>
      <c r="D21" s="76">
        <f>'3 - Process'!G170</f>
        <v>0</v>
      </c>
      <c r="E21" s="81">
        <f>'3 - Process'!H170</f>
        <v>160</v>
      </c>
    </row>
    <row r="22" spans="1:5" x14ac:dyDescent="0.25">
      <c r="B22" s="75" t="str">
        <f>'3 - Process'!B181</f>
        <v>3.5 - SOC Incident Coordination</v>
      </c>
      <c r="C22" s="76">
        <f>'3 - Process'!C181</f>
        <v>0</v>
      </c>
      <c r="D22" s="76">
        <f>'3 - Process'!G171</f>
        <v>0</v>
      </c>
      <c r="E22" s="81">
        <f>'3 - Process'!H171</f>
        <v>32</v>
      </c>
    </row>
    <row r="23" spans="1:5" x14ac:dyDescent="0.25">
      <c r="B23" s="75" t="str">
        <f>'3 - Process'!B182</f>
        <v>3.6 - SOC Portfolio Management</v>
      </c>
      <c r="C23" s="76">
        <f>'3 - Process'!C182</f>
        <v>0</v>
      </c>
      <c r="D23" s="76">
        <f>'3 - Process'!G172</f>
        <v>0</v>
      </c>
      <c r="E23" s="81">
        <f>'3 - Process'!H172</f>
        <v>104</v>
      </c>
    </row>
    <row r="24" spans="1:5" s="80" customFormat="1" ht="19" x14ac:dyDescent="0.25">
      <c r="A24" s="80" t="s">
        <v>9</v>
      </c>
    </row>
    <row r="25" spans="1:5" x14ac:dyDescent="0.25">
      <c r="B25" s="75" t="str">
        <f>'4 - Technology Functional'!B196</f>
        <v>4.1 - Security Information and Event Management</v>
      </c>
      <c r="C25" s="76">
        <f>'4 - Technology Functional'!C196</f>
        <v>0</v>
      </c>
      <c r="D25" s="76">
        <f>'4 - Technology Functional'!D196</f>
        <v>0</v>
      </c>
      <c r="E25" s="76">
        <f>'4 - Technology Functional'!E196</f>
        <v>76</v>
      </c>
    </row>
    <row r="26" spans="1:5" x14ac:dyDescent="0.25">
      <c r="B26" s="75" t="str">
        <f>'4 - Technology Functional'!B197</f>
        <v>4.2 - Intelligence Correlation</v>
      </c>
      <c r="C26" s="76">
        <f>'4 - Technology Functional'!C197</f>
        <v>0</v>
      </c>
      <c r="D26" s="76">
        <f>'4 - Technology Functional'!D197</f>
        <v>0</v>
      </c>
      <c r="E26" s="76">
        <f>'4 - Technology Functional'!E197</f>
        <v>36</v>
      </c>
    </row>
    <row r="27" spans="1:5" x14ac:dyDescent="0.25">
      <c r="B27" s="75" t="str">
        <f>'4 - Technology Functional'!B198</f>
        <v>4.3 - Architecture</v>
      </c>
      <c r="C27" s="76">
        <f>'4 - Technology Functional'!C198</f>
        <v>0</v>
      </c>
      <c r="D27" s="76">
        <f>'4 - Technology Functional'!D198</f>
        <v>0</v>
      </c>
      <c r="E27" s="76">
        <f>'4 - Technology Functional'!E198</f>
        <v>88</v>
      </c>
    </row>
    <row r="28" spans="1:5" x14ac:dyDescent="0.25">
      <c r="B28" s="75" t="str">
        <f>'4 - Technology Functional'!B199</f>
        <v>4.4 - Correlation</v>
      </c>
      <c r="C28" s="76">
        <f>'4 - Technology Functional'!C199</f>
        <v>0</v>
      </c>
      <c r="D28" s="76">
        <f>'4 - Technology Functional'!D199</f>
        <v>0</v>
      </c>
      <c r="E28" s="76">
        <f>'4 - Technology Functional'!E199</f>
        <v>152</v>
      </c>
    </row>
    <row r="29" spans="1:5" x14ac:dyDescent="0.25">
      <c r="B29" s="75" t="str">
        <f>'4 - Technology Functional'!B200</f>
        <v>4.5 - Reporting</v>
      </c>
      <c r="C29" s="76">
        <f>'4 - Technology Functional'!C200</f>
        <v>0</v>
      </c>
      <c r="D29" s="76">
        <f>'4 - Technology Functional'!D200</f>
        <v>0</v>
      </c>
      <c r="E29" s="76">
        <f>'4 - Technology Functional'!E200</f>
        <v>120</v>
      </c>
    </row>
    <row r="30" spans="1:5" x14ac:dyDescent="0.25">
      <c r="B30" s="75" t="str">
        <f>'4 - Technology Functional'!B201</f>
        <v>4.6 - SOC Engineering</v>
      </c>
      <c r="C30" s="76">
        <f>'4 - Technology Functional'!C201</f>
        <v>0</v>
      </c>
      <c r="D30" s="76">
        <f>'4 - Technology Functional'!D201</f>
        <v>0</v>
      </c>
      <c r="E30" s="76">
        <f>'4 - Technology Functional'!E201</f>
        <v>192</v>
      </c>
    </row>
    <row r="31" spans="1:5" x14ac:dyDescent="0.25">
      <c r="B31" s="75" t="str">
        <f>'4 - Technology Functional'!B202</f>
        <v>4.7 - SOC Information Lifecycle Management</v>
      </c>
      <c r="C31" s="76">
        <f>'4 - Technology Functional'!C202</f>
        <v>0</v>
      </c>
      <c r="D31" s="76">
        <f>'4 - Technology Functional'!D202</f>
        <v>0</v>
      </c>
      <c r="E31" s="76">
        <f>'4 - Technology Functional'!E202</f>
        <v>24</v>
      </c>
    </row>
    <row r="32" spans="1:5" s="80" customFormat="1" ht="19" x14ac:dyDescent="0.25">
      <c r="A32" s="80" t="s">
        <v>10</v>
      </c>
    </row>
    <row r="33" spans="2:5" x14ac:dyDescent="0.25">
      <c r="B33" s="75" t="str">
        <f>'5 - Coverage'!B135</f>
        <v>5.1 - Infrastructure Event Coverage</v>
      </c>
      <c r="C33" s="76">
        <f>'5 - Coverage'!C135</f>
        <v>0</v>
      </c>
      <c r="D33" s="76">
        <f>'5 - Coverage'!D135</f>
        <v>0</v>
      </c>
      <c r="E33" s="76">
        <f>'5 - Coverage'!E135</f>
        <v>36</v>
      </c>
    </row>
    <row r="34" spans="2:5" x14ac:dyDescent="0.25">
      <c r="B34" s="75" t="str">
        <f>'5 - Coverage'!B136</f>
        <v>5.2 - Security Devices Coverage</v>
      </c>
      <c r="C34" s="76">
        <f>'5 - Coverage'!C136</f>
        <v>0</v>
      </c>
      <c r="D34" s="76">
        <f>'5 - Coverage'!D136</f>
        <v>0</v>
      </c>
      <c r="E34" s="76">
        <f>'5 - Coverage'!E136</f>
        <v>64</v>
      </c>
    </row>
    <row r="35" spans="2:5" x14ac:dyDescent="0.25">
      <c r="B35" s="75" t="str">
        <f>'5 - Coverage'!B137</f>
        <v>5.3 - Advanced Threat Coverage</v>
      </c>
      <c r="C35" s="76">
        <f>'5 - Coverage'!C137</f>
        <v>0</v>
      </c>
      <c r="D35" s="76">
        <f>'5 - Coverage'!D137</f>
        <v>0</v>
      </c>
      <c r="E35" s="76">
        <f>'5 - Coverage'!E137</f>
        <v>32</v>
      </c>
    </row>
    <row r="36" spans="2:5" x14ac:dyDescent="0.25">
      <c r="B36" s="75" t="str">
        <f>'5 - Coverage'!B138</f>
        <v>5.4 - Network Device Coverage</v>
      </c>
      <c r="C36" s="76">
        <f>'5 - Coverage'!C138</f>
        <v>0</v>
      </c>
      <c r="D36" s="76">
        <f>'5 - Coverage'!D138</f>
        <v>0</v>
      </c>
      <c r="E36" s="76">
        <f>'5 - Coverage'!E138</f>
        <v>52</v>
      </c>
    </row>
    <row r="37" spans="2:5" x14ac:dyDescent="0.25">
      <c r="B37" s="75" t="str">
        <f>'5 - Coverage'!B139</f>
        <v>5.5 - Application Coverage</v>
      </c>
      <c r="C37" s="76">
        <f>'5 - Coverage'!C139</f>
        <v>0</v>
      </c>
      <c r="D37" s="76">
        <f>'5 - Coverage'!D139</f>
        <v>0</v>
      </c>
      <c r="E37" s="76">
        <f>'5 - Coverage'!E139</f>
        <v>16</v>
      </c>
    </row>
    <row r="38" spans="2:5" x14ac:dyDescent="0.25">
      <c r="B38" s="75" t="str">
        <f>'5 - Coverage'!B140</f>
        <v>5.6 - Use Case Enablers</v>
      </c>
      <c r="C38" s="76">
        <f>'5 - Coverage'!C140</f>
        <v>0</v>
      </c>
      <c r="D38" s="76">
        <f>'5 - Coverage'!D140</f>
        <v>0</v>
      </c>
      <c r="E38" s="76">
        <f>'5 - Coverage'!E140</f>
        <v>152</v>
      </c>
    </row>
    <row r="39" spans="2:5" x14ac:dyDescent="0.25">
      <c r="B39" s="75" t="str">
        <f>'5 - Coverage'!B141</f>
        <v>5.7 - Reports</v>
      </c>
      <c r="C39" s="76">
        <f>'5 - Coverage'!C141</f>
        <v>0</v>
      </c>
      <c r="D39" s="76">
        <f>'5 - Coverage'!D141</f>
        <v>0</v>
      </c>
      <c r="E39" s="76">
        <f>'5 - Coverage'!E141</f>
        <v>120</v>
      </c>
    </row>
  </sheetData>
  <phoneticPr fontId="7" type="noConversion"/>
  <pageMargins left="0.7" right="0.7" top="0.75" bottom="0.75" header="0.3" footer="0.3"/>
  <pageSetup scale="56" orientation="landscape" r:id="rId1"/>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K39"/>
  <sheetViews>
    <sheetView zoomScaleNormal="100" zoomScalePageLayoutView="85" workbookViewId="0">
      <pane ySplit="3" topLeftCell="A4" activePane="bottomLeft" state="frozen"/>
      <selection pane="bottomLeft" activeCell="C10" sqref="C10"/>
    </sheetView>
  </sheetViews>
  <sheetFormatPr baseColWidth="10" defaultColWidth="8.83203125" defaultRowHeight="21" x14ac:dyDescent="0.25"/>
  <cols>
    <col min="1" max="1" width="29.5" style="1" customWidth="1"/>
    <col min="2" max="2" width="55" style="1" customWidth="1"/>
    <col min="3" max="5" width="20" style="1" customWidth="1"/>
    <col min="6" max="6" width="27.83203125" style="1" bestFit="1" customWidth="1"/>
    <col min="7" max="16384" width="8.83203125" style="1"/>
  </cols>
  <sheetData>
    <row r="1" spans="1:11" s="58" customFormat="1" ht="29.25" customHeight="1" x14ac:dyDescent="0.2">
      <c r="A1" s="56"/>
      <c r="B1" s="57"/>
    </row>
    <row r="2" spans="1:11" s="77" customFormat="1" ht="30" customHeight="1" x14ac:dyDescent="0.2">
      <c r="A2" s="77" t="s">
        <v>11</v>
      </c>
      <c r="J2" s="78"/>
      <c r="K2" s="78"/>
    </row>
    <row r="3" spans="1:11" s="79" customFormat="1" ht="14" x14ac:dyDescent="0.15">
      <c r="A3" s="79" t="s">
        <v>1</v>
      </c>
      <c r="B3" s="79" t="s">
        <v>2</v>
      </c>
      <c r="C3" s="82" t="s">
        <v>3</v>
      </c>
      <c r="D3" s="82" t="s">
        <v>4</v>
      </c>
      <c r="E3" s="82" t="s">
        <v>5</v>
      </c>
    </row>
    <row r="4" spans="1:11" s="80" customFormat="1" ht="19" x14ac:dyDescent="0.25">
      <c r="A4" s="80" t="s">
        <v>6</v>
      </c>
    </row>
    <row r="5" spans="1:11" s="75" customFormat="1" ht="22.5" customHeight="1" x14ac:dyDescent="0.2">
      <c r="B5" s="75" t="str">
        <f>'1 - Mission and Governance'!B51</f>
        <v>1.1 - Mission</v>
      </c>
      <c r="C5" s="83">
        <v>0.12</v>
      </c>
      <c r="D5" s="83">
        <f>'1 - Mission and Governance'!G60</f>
        <v>0</v>
      </c>
      <c r="E5" s="83">
        <f>'1 - Mission and Governance'!H60</f>
        <v>0.8</v>
      </c>
    </row>
    <row r="6" spans="1:11" s="75" customFormat="1" ht="22.5" customHeight="1" x14ac:dyDescent="0.2">
      <c r="B6" s="75" t="str">
        <f>'1 - Mission and Governance'!B52</f>
        <v>1.2 - Service Catalogue</v>
      </c>
      <c r="C6" s="83">
        <v>0.02</v>
      </c>
      <c r="D6" s="83">
        <f>'1 - Mission and Governance'!G61</f>
        <v>0</v>
      </c>
      <c r="E6" s="83">
        <f>'1 - Mission and Governance'!H61</f>
        <v>0.8</v>
      </c>
    </row>
    <row r="7" spans="1:11" s="75" customFormat="1" ht="22.5" customHeight="1" x14ac:dyDescent="0.2">
      <c r="B7" s="75" t="str">
        <f>'1 - Mission and Governance'!B53</f>
        <v>1.3 - Governance</v>
      </c>
      <c r="C7" s="83">
        <v>0.13</v>
      </c>
      <c r="D7" s="83">
        <f>'1 - Mission and Governance'!G62</f>
        <v>0</v>
      </c>
      <c r="E7" s="83">
        <f>'1 - Mission and Governance'!H62</f>
        <v>0.8</v>
      </c>
    </row>
    <row r="8" spans="1:11" s="75" customFormat="1" ht="22.5" customHeight="1" x14ac:dyDescent="0.2">
      <c r="B8" s="75" t="str">
        <f>'1 - Mission and Governance'!B54</f>
        <v>1.4 - Repeatability</v>
      </c>
      <c r="C8" s="83">
        <v>0.9</v>
      </c>
      <c r="D8" s="83">
        <f>'1 - Mission and Governance'!G63</f>
        <v>0</v>
      </c>
      <c r="E8" s="83">
        <f>'1 - Mission and Governance'!H63</f>
        <v>0.8</v>
      </c>
    </row>
    <row r="9" spans="1:11" s="80" customFormat="1" ht="19" x14ac:dyDescent="0.25">
      <c r="A9" s="80" t="s">
        <v>7</v>
      </c>
    </row>
    <row r="10" spans="1:11" x14ac:dyDescent="0.25">
      <c r="B10" s="75" t="str">
        <f>'2 - People'!B95</f>
        <v>2.1 - Resourcing</v>
      </c>
      <c r="C10" s="83">
        <f>'2 - People'!C106</f>
        <v>0</v>
      </c>
      <c r="D10" s="83">
        <f>'2 - People'!G106</f>
        <v>0</v>
      </c>
      <c r="E10" s="83">
        <f>'2 - People'!H106</f>
        <v>0.8</v>
      </c>
    </row>
    <row r="11" spans="1:11" x14ac:dyDescent="0.25">
      <c r="B11" s="75" t="str">
        <f>'2 - People'!B96</f>
        <v>2.2 - Training</v>
      </c>
      <c r="C11" s="83">
        <f>'2 - People'!C107</f>
        <v>0</v>
      </c>
      <c r="D11" s="83">
        <f>'2 - People'!G107</f>
        <v>0</v>
      </c>
      <c r="E11" s="83">
        <f>'2 - People'!H107</f>
        <v>0.8</v>
      </c>
    </row>
    <row r="12" spans="1:11" x14ac:dyDescent="0.25">
      <c r="B12" s="75" t="str">
        <f>'2 - People'!B97</f>
        <v>2.3 - Certifications</v>
      </c>
      <c r="C12" s="83">
        <f>'2 - People'!C108</f>
        <v>0</v>
      </c>
      <c r="D12" s="83">
        <f>'2 - People'!G108</f>
        <v>0</v>
      </c>
      <c r="E12" s="83">
        <f>'2 - People'!H108</f>
        <v>0.8</v>
      </c>
    </row>
    <row r="13" spans="1:11" x14ac:dyDescent="0.25">
      <c r="B13" s="75" t="str">
        <f>'2 - People'!B98</f>
        <v>2.4 - Relevant Experience</v>
      </c>
      <c r="C13" s="83">
        <f>'2 - People'!C109</f>
        <v>0</v>
      </c>
      <c r="D13" s="83">
        <f>'2 - People'!G109</f>
        <v>0</v>
      </c>
      <c r="E13" s="83">
        <f>'2 - People'!H109</f>
        <v>0.8</v>
      </c>
    </row>
    <row r="14" spans="1:11" x14ac:dyDescent="0.25">
      <c r="B14" s="75" t="str">
        <f>'2 - People'!B99</f>
        <v>2.5 - Skills Assessment</v>
      </c>
      <c r="C14" s="83">
        <f>'2 - People'!C110</f>
        <v>0</v>
      </c>
      <c r="D14" s="83">
        <f>'2 - People'!G110</f>
        <v>0</v>
      </c>
      <c r="E14" s="83">
        <f>'2 - People'!H110</f>
        <v>0.8</v>
      </c>
    </row>
    <row r="15" spans="1:11" x14ac:dyDescent="0.25">
      <c r="B15" s="75" t="str">
        <f>'2 - People'!B100</f>
        <v>2.6 - Career Path</v>
      </c>
      <c r="C15" s="83">
        <f>'2 - People'!C111</f>
        <v>0</v>
      </c>
      <c r="D15" s="83">
        <f>'2 - People'!G111</f>
        <v>0</v>
      </c>
      <c r="E15" s="83">
        <f>'2 - People'!H111</f>
        <v>0.8</v>
      </c>
    </row>
    <row r="16" spans="1:11" x14ac:dyDescent="0.25">
      <c r="B16" s="75" t="str">
        <f>'2 - People'!B101</f>
        <v>2.7 - Leadership</v>
      </c>
      <c r="C16" s="83">
        <f>'2 - People'!C112</f>
        <v>0</v>
      </c>
      <c r="D16" s="83">
        <f>'2 - People'!G112</f>
        <v>0</v>
      </c>
      <c r="E16" s="83">
        <f>'2 - People'!H112</f>
        <v>0.8</v>
      </c>
    </row>
    <row r="17" spans="1:5" s="80" customFormat="1" ht="19" x14ac:dyDescent="0.25">
      <c r="A17" s="80" t="s">
        <v>8</v>
      </c>
    </row>
    <row r="18" spans="1:5" x14ac:dyDescent="0.25">
      <c r="B18" s="75" t="str">
        <f>'3 - Process'!B177</f>
        <v>3.1 - SOC Threat Management</v>
      </c>
      <c r="C18" s="83">
        <f>'3 - Process'!C187</f>
        <v>0</v>
      </c>
      <c r="D18" s="83">
        <f>'3 - Process'!G177</f>
        <v>0</v>
      </c>
      <c r="E18" s="83">
        <f>'3 - Process'!H177</f>
        <v>0.8</v>
      </c>
    </row>
    <row r="19" spans="1:5" x14ac:dyDescent="0.25">
      <c r="B19" s="75" t="str">
        <f>'3 - Process'!B178</f>
        <v>3.2 - SOC Analytical Process</v>
      </c>
      <c r="C19" s="83">
        <f>'3 - Process'!C188</f>
        <v>0</v>
      </c>
      <c r="D19" s="83">
        <f>'3 - Process'!G178</f>
        <v>0</v>
      </c>
      <c r="E19" s="83">
        <f>'3 - Process'!H178</f>
        <v>0.79130434782608694</v>
      </c>
    </row>
    <row r="20" spans="1:5" x14ac:dyDescent="0.25">
      <c r="B20" s="75" t="str">
        <f>'3 - Process'!B179</f>
        <v>3.3 - SOC Engineering Processes</v>
      </c>
      <c r="C20" s="83">
        <f>'3 - Process'!C189</f>
        <v>0</v>
      </c>
      <c r="D20" s="83">
        <f>'3 - Process'!G179</f>
        <v>0</v>
      </c>
      <c r="E20" s="83">
        <f>'3 - Process'!H179</f>
        <v>0.8</v>
      </c>
    </row>
    <row r="21" spans="1:5" x14ac:dyDescent="0.25">
      <c r="B21" s="75" t="str">
        <f>'3 - Process'!B180</f>
        <v>3.4 - SOC Operations and Continuity</v>
      </c>
      <c r="C21" s="83">
        <f>'3 - Process'!C190</f>
        <v>0</v>
      </c>
      <c r="D21" s="83">
        <f>'3 - Process'!G180</f>
        <v>0</v>
      </c>
      <c r="E21" s="83">
        <f>'3 - Process'!H180</f>
        <v>0.8</v>
      </c>
    </row>
    <row r="22" spans="1:5" x14ac:dyDescent="0.25">
      <c r="B22" s="75" t="str">
        <f>'3 - Process'!B181</f>
        <v>3.5 - SOC Incident Coordination</v>
      </c>
      <c r="C22" s="83">
        <f>'3 - Process'!C191</f>
        <v>0</v>
      </c>
      <c r="D22" s="83">
        <f>'3 - Process'!G181</f>
        <v>0</v>
      </c>
      <c r="E22" s="83">
        <f>'3 - Process'!H181</f>
        <v>0.8</v>
      </c>
    </row>
    <row r="23" spans="1:5" x14ac:dyDescent="0.25">
      <c r="B23" s="75" t="str">
        <f>'3 - Process'!B182</f>
        <v>3.6 - SOC Portfolio Management</v>
      </c>
      <c r="C23" s="83">
        <f>'3 - Process'!C192</f>
        <v>0</v>
      </c>
      <c r="D23" s="83">
        <f>'3 - Process'!G182</f>
        <v>0</v>
      </c>
      <c r="E23" s="83">
        <f>'3 - Process'!H182</f>
        <v>0.8</v>
      </c>
    </row>
    <row r="24" spans="1:5" s="80" customFormat="1" ht="19" x14ac:dyDescent="0.25">
      <c r="A24" s="80" t="s">
        <v>9</v>
      </c>
    </row>
    <row r="25" spans="1:5" x14ac:dyDescent="0.25">
      <c r="B25" s="75" t="str">
        <f>'4 - Technology Functional'!B196</f>
        <v>4.1 - Security Information and Event Management</v>
      </c>
      <c r="C25" s="83">
        <f>'4 - Technology Functional'!C207</f>
        <v>0</v>
      </c>
      <c r="D25" s="83">
        <f>'4 - Technology Functional'!D207</f>
        <v>0</v>
      </c>
      <c r="E25" s="83">
        <f>'4 - Technology Functional'!E207</f>
        <v>0.8</v>
      </c>
    </row>
    <row r="26" spans="1:5" x14ac:dyDescent="0.25">
      <c r="B26" s="75" t="str">
        <f>'4 - Technology Functional'!B197</f>
        <v>4.2 - Intelligence Correlation</v>
      </c>
      <c r="C26" s="83">
        <f>'4 - Technology Functional'!C208</f>
        <v>0</v>
      </c>
      <c r="D26" s="83">
        <f>'4 - Technology Functional'!D208</f>
        <v>0</v>
      </c>
      <c r="E26" s="83">
        <f>'4 - Technology Functional'!E208</f>
        <v>0.8</v>
      </c>
    </row>
    <row r="27" spans="1:5" x14ac:dyDescent="0.25">
      <c r="B27" s="75" t="str">
        <f>'4 - Technology Functional'!B198</f>
        <v>4.3 - Architecture</v>
      </c>
      <c r="C27" s="83">
        <f>'4 - Technology Functional'!C209</f>
        <v>0</v>
      </c>
      <c r="D27" s="83">
        <f>'4 - Technology Functional'!D209</f>
        <v>0</v>
      </c>
      <c r="E27" s="83">
        <f>'4 - Technology Functional'!E209</f>
        <v>0.8</v>
      </c>
    </row>
    <row r="28" spans="1:5" x14ac:dyDescent="0.25">
      <c r="B28" s="75" t="str">
        <f>'4 - Technology Functional'!B199</f>
        <v>4.4 - Correlation</v>
      </c>
      <c r="C28" s="83">
        <f>'4 - Technology Functional'!C210</f>
        <v>0</v>
      </c>
      <c r="D28" s="83">
        <f>'4 - Technology Functional'!D210</f>
        <v>0</v>
      </c>
      <c r="E28" s="83">
        <f>'4 - Technology Functional'!E210</f>
        <v>0.8</v>
      </c>
    </row>
    <row r="29" spans="1:5" x14ac:dyDescent="0.25">
      <c r="B29" s="75" t="str">
        <f>'4 - Technology Functional'!B200</f>
        <v>4.5 - Reporting</v>
      </c>
      <c r="C29" s="83">
        <f>'4 - Technology Functional'!C211</f>
        <v>0</v>
      </c>
      <c r="D29" s="83">
        <f>'4 - Technology Functional'!D211</f>
        <v>0</v>
      </c>
      <c r="E29" s="83">
        <f>'4 - Technology Functional'!E211</f>
        <v>0.8</v>
      </c>
    </row>
    <row r="30" spans="1:5" x14ac:dyDescent="0.25">
      <c r="B30" s="75" t="str">
        <f>'4 - Technology Functional'!B201</f>
        <v>4.6 - SOC Engineering</v>
      </c>
      <c r="C30" s="83">
        <f>'4 - Technology Functional'!C212</f>
        <v>0</v>
      </c>
      <c r="D30" s="83">
        <f>'4 - Technology Functional'!D212</f>
        <v>0</v>
      </c>
      <c r="E30" s="83">
        <f>'4 - Technology Functional'!E212</f>
        <v>0.8</v>
      </c>
    </row>
    <row r="31" spans="1:5" x14ac:dyDescent="0.25">
      <c r="B31" s="75" t="str">
        <f>'4 - Technology Functional'!B202</f>
        <v>4.7 - SOC Information Lifecycle Management</v>
      </c>
      <c r="C31" s="83">
        <f>'4 - Technology Functional'!C213</f>
        <v>0</v>
      </c>
      <c r="D31" s="83">
        <f>'4 - Technology Functional'!D213</f>
        <v>0</v>
      </c>
      <c r="E31" s="83">
        <f>'4 - Technology Functional'!E213</f>
        <v>0.8</v>
      </c>
    </row>
    <row r="32" spans="1:5" s="80" customFormat="1" ht="19" x14ac:dyDescent="0.25">
      <c r="A32" s="80" t="s">
        <v>10</v>
      </c>
    </row>
    <row r="33" spans="2:5" x14ac:dyDescent="0.25">
      <c r="B33" s="75" t="str">
        <f>'5 - Coverage'!B135</f>
        <v>5.1 - Infrastructure Event Coverage</v>
      </c>
      <c r="C33" s="83">
        <f>'5 - Coverage'!C146</f>
        <v>0</v>
      </c>
      <c r="D33" s="83">
        <f>'5 - Coverage'!D146</f>
        <v>0</v>
      </c>
      <c r="E33" s="83">
        <f>'5 - Coverage'!E146</f>
        <v>0.8</v>
      </c>
    </row>
    <row r="34" spans="2:5" x14ac:dyDescent="0.25">
      <c r="B34" s="75" t="str">
        <f>'5 - Coverage'!B136</f>
        <v>5.2 - Security Devices Coverage</v>
      </c>
      <c r="C34" s="83">
        <f>'5 - Coverage'!C147</f>
        <v>0</v>
      </c>
      <c r="D34" s="83">
        <f>'5 - Coverage'!D147</f>
        <v>0</v>
      </c>
      <c r="E34" s="83">
        <f>'5 - Coverage'!E147</f>
        <v>0.8</v>
      </c>
    </row>
    <row r="35" spans="2:5" x14ac:dyDescent="0.25">
      <c r="B35" s="75" t="str">
        <f>'5 - Coverage'!B137</f>
        <v>5.3 - Advanced Threat Coverage</v>
      </c>
      <c r="C35" s="83">
        <f>'5 - Coverage'!C148</f>
        <v>0</v>
      </c>
      <c r="D35" s="83">
        <f>'5 - Coverage'!D148</f>
        <v>0</v>
      </c>
      <c r="E35" s="83">
        <f>'5 - Coverage'!E148</f>
        <v>0.8</v>
      </c>
    </row>
    <row r="36" spans="2:5" x14ac:dyDescent="0.25">
      <c r="B36" s="75" t="str">
        <f>'5 - Coverage'!B138</f>
        <v>5.4 - Network Device Coverage</v>
      </c>
      <c r="C36" s="83">
        <f>'5 - Coverage'!C149</f>
        <v>0</v>
      </c>
      <c r="D36" s="83">
        <f>'5 - Coverage'!D149</f>
        <v>0</v>
      </c>
      <c r="E36" s="83">
        <f>'5 - Coverage'!E149</f>
        <v>0.8</v>
      </c>
    </row>
    <row r="37" spans="2:5" x14ac:dyDescent="0.25">
      <c r="B37" s="75" t="str">
        <f>'5 - Coverage'!B139</f>
        <v>5.5 - Application Coverage</v>
      </c>
      <c r="C37" s="83">
        <f>'5 - Coverage'!C150</f>
        <v>0</v>
      </c>
      <c r="D37" s="83">
        <f>'5 - Coverage'!D150</f>
        <v>0</v>
      </c>
      <c r="E37" s="83">
        <f>'5 - Coverage'!E150</f>
        <v>0.8</v>
      </c>
    </row>
    <row r="38" spans="2:5" x14ac:dyDescent="0.25">
      <c r="B38" s="75" t="str">
        <f>'5 - Coverage'!B140</f>
        <v>5.6 - Use Case Enablers</v>
      </c>
      <c r="C38" s="83">
        <f>'5 - Coverage'!C151</f>
        <v>0</v>
      </c>
      <c r="D38" s="83">
        <f>'5 - Coverage'!D151</f>
        <v>0</v>
      </c>
      <c r="E38" s="83">
        <f>'5 - Coverage'!E151</f>
        <v>0.8</v>
      </c>
    </row>
    <row r="39" spans="2:5" x14ac:dyDescent="0.25">
      <c r="B39" s="75" t="str">
        <f>'5 - Coverage'!B141</f>
        <v>5.7 - Reports</v>
      </c>
      <c r="C39" s="83">
        <f>'5 - Coverage'!C152</f>
        <v>0</v>
      </c>
      <c r="D39" s="83">
        <f>'5 - Coverage'!D152</f>
        <v>0</v>
      </c>
      <c r="E39" s="83">
        <f>'5 - Coverage'!E152</f>
        <v>0.8</v>
      </c>
    </row>
  </sheetData>
  <pageMargins left="0.7" right="0.7" top="0.75" bottom="0.75" header="0.3" footer="0.3"/>
  <pageSetup scale="56"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K82"/>
  <sheetViews>
    <sheetView zoomScaleNormal="100" zoomScalePageLayoutView="85" workbookViewId="0">
      <pane ySplit="3" topLeftCell="A12" activePane="bottomLeft" state="frozen"/>
      <selection pane="bottomLeft" activeCell="C1" sqref="C1"/>
    </sheetView>
  </sheetViews>
  <sheetFormatPr baseColWidth="10" defaultColWidth="8.83203125" defaultRowHeight="21" x14ac:dyDescent="0.25"/>
  <cols>
    <col min="1" max="1" width="29.5" style="1" customWidth="1"/>
    <col min="2" max="2" width="55" style="1" customWidth="1"/>
    <col min="3" max="5" width="20" style="1" customWidth="1"/>
    <col min="6" max="6" width="27.83203125" style="1" bestFit="1" customWidth="1"/>
    <col min="7" max="16384" width="8.83203125" style="1"/>
  </cols>
  <sheetData>
    <row r="1" spans="1:11" s="58" customFormat="1" ht="29.25" customHeight="1" x14ac:dyDescent="0.2">
      <c r="A1" s="56"/>
      <c r="B1" s="57"/>
    </row>
    <row r="2" spans="1:11" s="77" customFormat="1" ht="30" customHeight="1" x14ac:dyDescent="0.2">
      <c r="A2" s="77" t="s">
        <v>11</v>
      </c>
      <c r="J2" s="78"/>
      <c r="K2" s="78"/>
    </row>
    <row r="3" spans="1:11" s="79" customFormat="1" ht="14" x14ac:dyDescent="0.15">
      <c r="A3" s="79" t="s">
        <v>1</v>
      </c>
      <c r="B3" s="79" t="s">
        <v>2</v>
      </c>
      <c r="C3" s="82" t="s">
        <v>3</v>
      </c>
      <c r="D3" s="82" t="s">
        <v>4</v>
      </c>
      <c r="E3" s="82" t="s">
        <v>5</v>
      </c>
    </row>
    <row r="4" spans="1:11" s="80" customFormat="1" ht="19" x14ac:dyDescent="0.25">
      <c r="A4" s="80" t="s">
        <v>6</v>
      </c>
    </row>
    <row r="5" spans="1:11" s="75" customFormat="1" ht="22.5" customHeight="1" x14ac:dyDescent="0.2">
      <c r="C5" s="83"/>
      <c r="D5" s="83"/>
      <c r="E5" s="83"/>
    </row>
    <row r="6" spans="1:11" s="75" customFormat="1" ht="22.5" customHeight="1" x14ac:dyDescent="0.2">
      <c r="C6" s="83"/>
      <c r="D6" s="83"/>
      <c r="E6" s="83"/>
    </row>
    <row r="7" spans="1:11" s="75" customFormat="1" ht="22.5" customHeight="1" x14ac:dyDescent="0.2">
      <c r="C7" s="83"/>
      <c r="D7" s="83"/>
      <c r="E7" s="83"/>
    </row>
    <row r="8" spans="1:11" s="75" customFormat="1" ht="22.5" customHeight="1" x14ac:dyDescent="0.2">
      <c r="C8" s="83"/>
      <c r="D8" s="83"/>
      <c r="E8" s="83"/>
    </row>
    <row r="9" spans="1:11" s="75" customFormat="1" ht="22.5" customHeight="1" x14ac:dyDescent="0.2">
      <c r="C9" s="83"/>
      <c r="D9" s="83"/>
      <c r="E9" s="83"/>
    </row>
    <row r="10" spans="1:11" s="75" customFormat="1" ht="22.5" customHeight="1" x14ac:dyDescent="0.2">
      <c r="C10" s="83"/>
      <c r="D10" s="83"/>
      <c r="E10" s="83"/>
    </row>
    <row r="11" spans="1:11" s="75" customFormat="1" ht="22.5" customHeight="1" x14ac:dyDescent="0.2">
      <c r="C11" s="83"/>
      <c r="D11" s="83"/>
      <c r="E11" s="83"/>
    </row>
    <row r="12" spans="1:11" s="75" customFormat="1" ht="22.5" customHeight="1" x14ac:dyDescent="0.2">
      <c r="C12" s="83"/>
      <c r="D12" s="83"/>
      <c r="E12" s="83"/>
    </row>
    <row r="13" spans="1:11" s="75" customFormat="1" ht="22.5" customHeight="1" x14ac:dyDescent="0.2">
      <c r="C13" s="83"/>
      <c r="D13" s="83"/>
      <c r="E13" s="83"/>
    </row>
    <row r="14" spans="1:11" s="75" customFormat="1" ht="22.5" customHeight="1" x14ac:dyDescent="0.2">
      <c r="C14" s="83"/>
      <c r="D14" s="83"/>
      <c r="E14" s="83"/>
    </row>
    <row r="15" spans="1:11" s="75" customFormat="1" ht="22.5" customHeight="1" x14ac:dyDescent="0.2">
      <c r="C15" s="83"/>
      <c r="D15" s="83"/>
      <c r="E15" s="83"/>
    </row>
    <row r="16" spans="1:11" s="75" customFormat="1" ht="22.5" customHeight="1" x14ac:dyDescent="0.2">
      <c r="C16" s="83"/>
      <c r="D16" s="83"/>
      <c r="E16" s="83"/>
    </row>
    <row r="17" spans="1:5" s="75" customFormat="1" ht="22.5" customHeight="1" x14ac:dyDescent="0.2">
      <c r="C17" s="83"/>
      <c r="D17" s="83"/>
      <c r="E17" s="83"/>
    </row>
    <row r="18" spans="1:5" s="75" customFormat="1" ht="22.5" customHeight="1" x14ac:dyDescent="0.2">
      <c r="C18" s="83"/>
      <c r="D18" s="83"/>
      <c r="E18" s="83"/>
    </row>
    <row r="19" spans="1:5" s="80" customFormat="1" ht="19" x14ac:dyDescent="0.25">
      <c r="A19" s="80" t="s">
        <v>7</v>
      </c>
    </row>
    <row r="20" spans="1:5" x14ac:dyDescent="0.25">
      <c r="B20" s="75"/>
      <c r="C20" s="83"/>
      <c r="D20" s="83"/>
      <c r="E20" s="83"/>
    </row>
    <row r="21" spans="1:5" x14ac:dyDescent="0.25">
      <c r="B21" s="75"/>
      <c r="C21" s="83"/>
      <c r="D21" s="83"/>
      <c r="E21" s="83"/>
    </row>
    <row r="22" spans="1:5" x14ac:dyDescent="0.25">
      <c r="B22" s="75"/>
      <c r="C22" s="83"/>
      <c r="D22" s="83"/>
      <c r="E22" s="83"/>
    </row>
    <row r="23" spans="1:5" x14ac:dyDescent="0.25">
      <c r="B23" s="75"/>
      <c r="C23" s="83"/>
      <c r="D23" s="83"/>
      <c r="E23" s="83"/>
    </row>
    <row r="24" spans="1:5" x14ac:dyDescent="0.25">
      <c r="B24" s="75"/>
      <c r="C24" s="83"/>
      <c r="D24" s="83"/>
      <c r="E24" s="83"/>
    </row>
    <row r="25" spans="1:5" x14ac:dyDescent="0.25">
      <c r="B25" s="75"/>
      <c r="C25" s="83"/>
      <c r="D25" s="83"/>
      <c r="E25" s="83"/>
    </row>
    <row r="26" spans="1:5" x14ac:dyDescent="0.25">
      <c r="B26" s="75"/>
      <c r="C26" s="83"/>
      <c r="D26" s="83"/>
      <c r="E26" s="83"/>
    </row>
    <row r="27" spans="1:5" x14ac:dyDescent="0.25">
      <c r="B27" s="75"/>
      <c r="C27" s="83"/>
      <c r="D27" s="83"/>
      <c r="E27" s="83"/>
    </row>
    <row r="28" spans="1:5" x14ac:dyDescent="0.25">
      <c r="B28" s="75"/>
      <c r="C28" s="83"/>
      <c r="D28" s="83"/>
      <c r="E28" s="83"/>
    </row>
    <row r="29" spans="1:5" x14ac:dyDescent="0.25">
      <c r="B29" s="75"/>
      <c r="C29" s="83"/>
      <c r="D29" s="83"/>
      <c r="E29" s="83"/>
    </row>
    <row r="30" spans="1:5" x14ac:dyDescent="0.25">
      <c r="B30" s="75"/>
      <c r="C30" s="83"/>
      <c r="D30" s="83"/>
      <c r="E30" s="83"/>
    </row>
    <row r="31" spans="1:5" x14ac:dyDescent="0.25">
      <c r="B31" s="75"/>
      <c r="C31" s="83"/>
      <c r="D31" s="83"/>
      <c r="E31" s="83"/>
    </row>
    <row r="32" spans="1:5" x14ac:dyDescent="0.25">
      <c r="B32" s="75"/>
      <c r="C32" s="83"/>
      <c r="D32" s="83"/>
      <c r="E32" s="83"/>
    </row>
    <row r="33" spans="1:5" x14ac:dyDescent="0.25">
      <c r="B33" s="75"/>
      <c r="C33" s="83"/>
      <c r="D33" s="83"/>
      <c r="E33" s="83"/>
    </row>
    <row r="34" spans="1:5" x14ac:dyDescent="0.25">
      <c r="B34" s="75"/>
      <c r="C34" s="83"/>
      <c r="D34" s="83"/>
      <c r="E34" s="83"/>
    </row>
    <row r="35" spans="1:5" x14ac:dyDescent="0.25">
      <c r="B35" s="75"/>
      <c r="C35" s="83"/>
      <c r="D35" s="83"/>
      <c r="E35" s="83"/>
    </row>
    <row r="36" spans="1:5" s="80" customFormat="1" ht="19" x14ac:dyDescent="0.25">
      <c r="A36" s="80" t="s">
        <v>8</v>
      </c>
    </row>
    <row r="37" spans="1:5" x14ac:dyDescent="0.25">
      <c r="B37" s="75"/>
      <c r="C37" s="83"/>
      <c r="D37" s="83"/>
      <c r="E37" s="83"/>
    </row>
    <row r="38" spans="1:5" x14ac:dyDescent="0.25">
      <c r="B38" s="75"/>
      <c r="C38" s="83"/>
      <c r="D38" s="83"/>
      <c r="E38" s="83"/>
    </row>
    <row r="39" spans="1:5" x14ac:dyDescent="0.25">
      <c r="B39" s="75"/>
      <c r="C39" s="83"/>
      <c r="D39" s="83"/>
      <c r="E39" s="83"/>
    </row>
    <row r="40" spans="1:5" x14ac:dyDescent="0.25">
      <c r="B40" s="75"/>
      <c r="C40" s="83"/>
      <c r="D40" s="83"/>
      <c r="E40" s="83"/>
    </row>
    <row r="41" spans="1:5" x14ac:dyDescent="0.25">
      <c r="B41" s="75"/>
      <c r="C41" s="83"/>
      <c r="D41" s="83"/>
      <c r="E41" s="83"/>
    </row>
    <row r="42" spans="1:5" x14ac:dyDescent="0.25">
      <c r="B42" s="75"/>
      <c r="C42" s="83"/>
      <c r="D42" s="83"/>
      <c r="E42" s="83"/>
    </row>
    <row r="43" spans="1:5" x14ac:dyDescent="0.25">
      <c r="B43" s="75"/>
      <c r="C43" s="83"/>
      <c r="D43" s="83"/>
      <c r="E43" s="83"/>
    </row>
    <row r="44" spans="1:5" x14ac:dyDescent="0.25">
      <c r="B44" s="75"/>
      <c r="C44" s="83"/>
      <c r="D44" s="83"/>
      <c r="E44" s="83"/>
    </row>
    <row r="45" spans="1:5" x14ac:dyDescent="0.25">
      <c r="B45" s="75"/>
      <c r="C45" s="83"/>
      <c r="D45" s="83"/>
      <c r="E45" s="83"/>
    </row>
    <row r="46" spans="1:5" x14ac:dyDescent="0.25">
      <c r="B46" s="75"/>
      <c r="C46" s="83"/>
      <c r="D46" s="83"/>
      <c r="E46" s="83"/>
    </row>
    <row r="47" spans="1:5" x14ac:dyDescent="0.25">
      <c r="B47" s="75"/>
      <c r="C47" s="83"/>
      <c r="D47" s="83"/>
      <c r="E47" s="83"/>
    </row>
    <row r="48" spans="1:5" x14ac:dyDescent="0.25">
      <c r="B48" s="75"/>
      <c r="C48" s="83"/>
      <c r="D48" s="83"/>
      <c r="E48" s="83"/>
    </row>
    <row r="49" spans="1:5" x14ac:dyDescent="0.25">
      <c r="B49" s="75"/>
      <c r="C49" s="83"/>
      <c r="D49" s="83"/>
      <c r="E49" s="83"/>
    </row>
    <row r="50" spans="1:5" x14ac:dyDescent="0.25">
      <c r="B50" s="75"/>
      <c r="C50" s="83"/>
      <c r="D50" s="83"/>
      <c r="E50" s="83"/>
    </row>
    <row r="51" spans="1:5" x14ac:dyDescent="0.25">
      <c r="B51" s="75"/>
      <c r="C51" s="83"/>
      <c r="D51" s="83"/>
      <c r="E51" s="83"/>
    </row>
    <row r="52" spans="1:5" x14ac:dyDescent="0.25">
      <c r="B52" s="75"/>
      <c r="C52" s="83"/>
      <c r="D52" s="83"/>
      <c r="E52" s="83"/>
    </row>
    <row r="53" spans="1:5" x14ac:dyDescent="0.25">
      <c r="B53" s="75"/>
      <c r="C53" s="83"/>
      <c r="D53" s="83"/>
      <c r="E53" s="83"/>
    </row>
    <row r="54" spans="1:5" x14ac:dyDescent="0.25">
      <c r="B54" s="75"/>
      <c r="C54" s="83"/>
      <c r="D54" s="83"/>
      <c r="E54" s="83"/>
    </row>
    <row r="55" spans="1:5" x14ac:dyDescent="0.25">
      <c r="B55" s="75"/>
      <c r="C55" s="83"/>
      <c r="D55" s="83"/>
      <c r="E55" s="83"/>
    </row>
    <row r="56" spans="1:5" s="80" customFormat="1" ht="19" x14ac:dyDescent="0.25">
      <c r="A56" s="80" t="s">
        <v>9</v>
      </c>
    </row>
    <row r="57" spans="1:5" x14ac:dyDescent="0.25">
      <c r="B57" s="75"/>
      <c r="C57" s="83"/>
      <c r="D57" s="83"/>
      <c r="E57" s="83"/>
    </row>
    <row r="58" spans="1:5" x14ac:dyDescent="0.25">
      <c r="B58" s="75"/>
      <c r="C58" s="83"/>
      <c r="D58" s="83"/>
      <c r="E58" s="83"/>
    </row>
    <row r="59" spans="1:5" x14ac:dyDescent="0.25">
      <c r="B59" s="75"/>
      <c r="C59" s="83"/>
      <c r="D59" s="83"/>
      <c r="E59" s="83"/>
    </row>
    <row r="60" spans="1:5" x14ac:dyDescent="0.25">
      <c r="B60" s="75"/>
      <c r="C60" s="83"/>
      <c r="D60" s="83"/>
      <c r="E60" s="83"/>
    </row>
    <row r="61" spans="1:5" x14ac:dyDescent="0.25">
      <c r="B61" s="75"/>
      <c r="C61" s="83"/>
      <c r="D61" s="83"/>
      <c r="E61" s="83"/>
    </row>
    <row r="62" spans="1:5" x14ac:dyDescent="0.25">
      <c r="B62" s="75"/>
      <c r="C62" s="83"/>
      <c r="D62" s="83"/>
      <c r="E62" s="83"/>
    </row>
    <row r="63" spans="1:5" x14ac:dyDescent="0.25">
      <c r="B63" s="75"/>
      <c r="C63" s="83"/>
      <c r="D63" s="83"/>
      <c r="E63" s="83"/>
    </row>
    <row r="64" spans="1:5" x14ac:dyDescent="0.25">
      <c r="B64" s="75"/>
      <c r="C64" s="83"/>
      <c r="D64" s="83"/>
      <c r="E64" s="83"/>
    </row>
    <row r="65" spans="1:5" x14ac:dyDescent="0.25">
      <c r="B65" s="75"/>
      <c r="C65" s="83"/>
      <c r="D65" s="83"/>
      <c r="E65" s="83"/>
    </row>
    <row r="66" spans="1:5" x14ac:dyDescent="0.25">
      <c r="B66" s="75"/>
      <c r="C66" s="83"/>
      <c r="D66" s="83"/>
      <c r="E66" s="83"/>
    </row>
    <row r="67" spans="1:5" x14ac:dyDescent="0.25">
      <c r="B67" s="75"/>
      <c r="C67" s="83"/>
      <c r="D67" s="83"/>
      <c r="E67" s="83"/>
    </row>
    <row r="68" spans="1:5" x14ac:dyDescent="0.25">
      <c r="B68" s="75"/>
      <c r="C68" s="83"/>
      <c r="D68" s="83"/>
      <c r="E68" s="83"/>
    </row>
    <row r="69" spans="1:5" x14ac:dyDescent="0.25">
      <c r="B69" s="75"/>
      <c r="C69" s="83"/>
      <c r="D69" s="83"/>
      <c r="E69" s="83"/>
    </row>
    <row r="70" spans="1:5" x14ac:dyDescent="0.25">
      <c r="B70" s="75"/>
      <c r="C70" s="83"/>
      <c r="D70" s="83"/>
      <c r="E70" s="83"/>
    </row>
    <row r="71" spans="1:5" x14ac:dyDescent="0.25">
      <c r="B71" s="75"/>
      <c r="C71" s="83"/>
      <c r="D71" s="83"/>
      <c r="E71" s="83"/>
    </row>
    <row r="72" spans="1:5" x14ac:dyDescent="0.25">
      <c r="B72" s="75"/>
      <c r="C72" s="83"/>
      <c r="D72" s="83"/>
      <c r="E72" s="83"/>
    </row>
    <row r="73" spans="1:5" x14ac:dyDescent="0.25">
      <c r="B73" s="75"/>
      <c r="C73" s="83"/>
      <c r="D73" s="83"/>
      <c r="E73" s="83"/>
    </row>
    <row r="74" spans="1:5" x14ac:dyDescent="0.25">
      <c r="B74" s="75"/>
      <c r="C74" s="83"/>
      <c r="D74" s="83"/>
      <c r="E74" s="83"/>
    </row>
    <row r="75" spans="1:5" s="80" customFormat="1" ht="19" x14ac:dyDescent="0.25">
      <c r="A75" s="80" t="s">
        <v>10</v>
      </c>
    </row>
    <row r="76" spans="1:5" x14ac:dyDescent="0.25">
      <c r="B76" s="75"/>
      <c r="C76" s="83"/>
      <c r="D76" s="83"/>
      <c r="E76" s="83"/>
    </row>
    <row r="77" spans="1:5" x14ac:dyDescent="0.25">
      <c r="B77" s="75"/>
      <c r="C77" s="83"/>
      <c r="D77" s="83"/>
      <c r="E77" s="83"/>
    </row>
    <row r="78" spans="1:5" x14ac:dyDescent="0.25">
      <c r="B78" s="75"/>
      <c r="C78" s="83"/>
      <c r="D78" s="83"/>
      <c r="E78" s="83"/>
    </row>
    <row r="79" spans="1:5" x14ac:dyDescent="0.25">
      <c r="B79" s="75"/>
      <c r="C79" s="83"/>
      <c r="D79" s="83"/>
      <c r="E79" s="83"/>
    </row>
    <row r="80" spans="1:5" x14ac:dyDescent="0.25">
      <c r="B80" s="75"/>
      <c r="C80" s="83"/>
      <c r="D80" s="83"/>
      <c r="E80" s="83"/>
    </row>
    <row r="81" spans="2:5" x14ac:dyDescent="0.25">
      <c r="B81" s="75"/>
      <c r="C81" s="83"/>
      <c r="D81" s="83"/>
      <c r="E81" s="83"/>
    </row>
    <row r="82" spans="2:5" x14ac:dyDescent="0.25">
      <c r="B82" s="75"/>
      <c r="C82" s="83"/>
      <c r="D82" s="83"/>
      <c r="E82" s="83"/>
    </row>
  </sheetData>
  <pageMargins left="0.7" right="0.7" top="0.75" bottom="0.75" header="0.3" footer="0.3"/>
  <pageSetup scale="26"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9"/>
  <sheetViews>
    <sheetView zoomScaleNormal="100" workbookViewId="0">
      <selection activeCell="D11" sqref="D11"/>
    </sheetView>
  </sheetViews>
  <sheetFormatPr baseColWidth="10" defaultColWidth="8.83203125" defaultRowHeight="15" x14ac:dyDescent="0.2"/>
  <cols>
    <col min="1" max="1" width="38" bestFit="1" customWidth="1"/>
    <col min="2" max="2" width="12.5" style="22" customWidth="1"/>
    <col min="3" max="3" width="43.5" customWidth="1"/>
    <col min="4" max="4" width="24" bestFit="1" customWidth="1"/>
    <col min="5" max="5" width="26.1640625" customWidth="1"/>
    <col min="6" max="6" width="14" customWidth="1"/>
  </cols>
  <sheetData>
    <row r="1" spans="1:11" s="58" customFormat="1" ht="29.25" customHeight="1" x14ac:dyDescent="0.2">
      <c r="A1" s="56"/>
      <c r="B1" s="57"/>
    </row>
    <row r="2" spans="1:11" s="30" customFormat="1" ht="22.5" customHeight="1" x14ac:dyDescent="0.2">
      <c r="A2" s="30" t="s">
        <v>358</v>
      </c>
      <c r="J2" s="31"/>
      <c r="K2" s="31"/>
    </row>
    <row r="3" spans="1:11" s="2" customFormat="1" x14ac:dyDescent="0.2">
      <c r="A3" s="2" t="s">
        <v>359</v>
      </c>
      <c r="B3" s="84"/>
      <c r="C3" s="2" t="s">
        <v>360</v>
      </c>
      <c r="D3" s="2" t="s">
        <v>361</v>
      </c>
      <c r="E3" s="2" t="s">
        <v>362</v>
      </c>
      <c r="F3" s="2" t="s">
        <v>363</v>
      </c>
    </row>
    <row r="4" spans="1:11" s="3" customFormat="1" ht="74.25" customHeight="1" x14ac:dyDescent="0.2">
      <c r="A4" s="85" t="s">
        <v>364</v>
      </c>
      <c r="B4" s="86">
        <v>0</v>
      </c>
      <c r="C4" s="87" t="s">
        <v>365</v>
      </c>
      <c r="D4" s="87" t="s">
        <v>366</v>
      </c>
      <c r="E4" s="88">
        <v>0</v>
      </c>
      <c r="F4" s="88">
        <v>0</v>
      </c>
    </row>
    <row r="5" spans="1:11" s="3" customFormat="1" ht="64" x14ac:dyDescent="0.2">
      <c r="A5" s="89" t="s">
        <v>367</v>
      </c>
      <c r="B5" s="90">
        <v>1</v>
      </c>
      <c r="C5" s="91" t="s">
        <v>368</v>
      </c>
      <c r="D5" s="91" t="s">
        <v>369</v>
      </c>
      <c r="E5" s="92">
        <v>0.2</v>
      </c>
      <c r="F5" s="92">
        <v>0.2</v>
      </c>
    </row>
    <row r="6" spans="1:11" s="3" customFormat="1" ht="80" x14ac:dyDescent="0.2">
      <c r="A6" s="93" t="s">
        <v>370</v>
      </c>
      <c r="B6" s="94">
        <v>2</v>
      </c>
      <c r="C6" s="95" t="s">
        <v>371</v>
      </c>
      <c r="D6" s="95" t="s">
        <v>372</v>
      </c>
      <c r="E6" s="96">
        <v>0.4</v>
      </c>
      <c r="F6" s="96">
        <v>0.4</v>
      </c>
    </row>
    <row r="7" spans="1:11" s="3" customFormat="1" ht="84" customHeight="1" x14ac:dyDescent="0.2">
      <c r="A7" s="97" t="s">
        <v>373</v>
      </c>
      <c r="B7" s="98">
        <v>3</v>
      </c>
      <c r="C7" s="99" t="s">
        <v>374</v>
      </c>
      <c r="D7" s="99" t="s">
        <v>375</v>
      </c>
      <c r="E7" s="100">
        <v>0.6</v>
      </c>
      <c r="F7" s="100">
        <v>0.6</v>
      </c>
    </row>
    <row r="8" spans="1:11" s="3" customFormat="1" ht="80" x14ac:dyDescent="0.2">
      <c r="A8" s="101" t="s">
        <v>79</v>
      </c>
      <c r="B8" s="102">
        <v>4</v>
      </c>
      <c r="C8" s="103" t="s">
        <v>376</v>
      </c>
      <c r="D8" s="103" t="s">
        <v>377</v>
      </c>
      <c r="E8" s="104">
        <v>0.8</v>
      </c>
      <c r="F8" s="104">
        <v>0.8</v>
      </c>
    </row>
    <row r="9" spans="1:11" s="3" customFormat="1" ht="80" x14ac:dyDescent="0.2">
      <c r="A9" s="105" t="s">
        <v>98</v>
      </c>
      <c r="B9" s="106">
        <v>5</v>
      </c>
      <c r="C9" s="107" t="s">
        <v>378</v>
      </c>
      <c r="D9" s="107" t="s">
        <v>379</v>
      </c>
      <c r="E9" s="108">
        <v>1</v>
      </c>
      <c r="F9" s="108">
        <v>1</v>
      </c>
    </row>
  </sheetData>
  <pageMargins left="0.7" right="0.7" top="0.75" bottom="0.75" header="0.3" footer="0.3"/>
  <extLst>
    <ext xmlns:mx="http://schemas.microsoft.com/office/mac/excel/2008/main" uri="{64002731-A6B0-56B0-2670-7721B7C09600}">
      <mx:PLV Mode="0" OnePage="0" WScale="0"/>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92D050"/>
    <pageSetUpPr fitToPage="1"/>
  </sheetPr>
  <dimension ref="A1:L77"/>
  <sheetViews>
    <sheetView zoomScale="85" zoomScaleNormal="85" zoomScalePageLayoutView="125" workbookViewId="0">
      <pane ySplit="3" topLeftCell="A17" activePane="bottomLeft" state="frozen"/>
      <selection pane="bottomLeft" activeCell="B35" sqref="B35"/>
    </sheetView>
  </sheetViews>
  <sheetFormatPr baseColWidth="10" defaultColWidth="8.83203125" defaultRowHeight="15" x14ac:dyDescent="0.2"/>
  <cols>
    <col min="1" max="1" width="145.1640625" style="73" customWidth="1"/>
    <col min="2" max="2" width="83.5" style="224" customWidth="1"/>
    <col min="3" max="3" width="16.5" style="34" customWidth="1"/>
    <col min="4" max="6" width="12.5" style="34" hidden="1" customWidth="1"/>
    <col min="7" max="7" width="18.5" style="34" customWidth="1"/>
    <col min="8" max="8" width="21.5" style="34" hidden="1" customWidth="1"/>
    <col min="9" max="9" width="15.5" style="34" hidden="1" customWidth="1"/>
    <col min="10" max="10" width="51" style="73" hidden="1" customWidth="1"/>
    <col min="11" max="11" width="63.5" style="33" hidden="1" customWidth="1"/>
    <col min="12" max="12" width="11.1640625" style="34" hidden="1" customWidth="1"/>
    <col min="13" max="17" width="0" style="34" hidden="1" customWidth="1"/>
    <col min="18" max="18" width="64.5" style="34" customWidth="1"/>
    <col min="19" max="16384" width="8.83203125" style="34"/>
  </cols>
  <sheetData>
    <row r="1" spans="1:11" s="58" customFormat="1" ht="29.25" customHeight="1" x14ac:dyDescent="0.2">
      <c r="A1" s="127"/>
      <c r="B1" s="218"/>
    </row>
    <row r="2" spans="1:11" s="30" customFormat="1" ht="22.5" customHeight="1" x14ac:dyDescent="0.2">
      <c r="A2" s="31" t="s">
        <v>12</v>
      </c>
      <c r="B2" s="217"/>
      <c r="J2" s="31"/>
      <c r="K2" s="31"/>
    </row>
    <row r="3" spans="1:11" s="26" customFormat="1" ht="16.5" customHeight="1" x14ac:dyDescent="0.2">
      <c r="A3" s="125" t="s">
        <v>13</v>
      </c>
      <c r="B3" s="219" t="s">
        <v>14</v>
      </c>
      <c r="C3" s="27"/>
      <c r="D3" s="27"/>
      <c r="E3" s="27"/>
      <c r="F3" s="27"/>
      <c r="G3" s="27"/>
      <c r="H3" s="27"/>
      <c r="I3" s="27"/>
    </row>
    <row r="4" spans="1:11" s="168" customFormat="1" ht="16.5" customHeight="1" x14ac:dyDescent="0.2">
      <c r="A4" s="168" t="s">
        <v>15</v>
      </c>
      <c r="B4" s="220"/>
    </row>
    <row r="5" spans="1:11" s="166" customFormat="1" ht="26.25" customHeight="1" x14ac:dyDescent="0.2">
      <c r="A5" s="166" t="s">
        <v>16</v>
      </c>
      <c r="B5" s="221" t="s">
        <v>17</v>
      </c>
    </row>
    <row r="6" spans="1:11" s="166" customFormat="1" ht="26.25" customHeight="1" x14ac:dyDescent="0.2">
      <c r="A6" s="166" t="s">
        <v>18</v>
      </c>
      <c r="B6" s="221">
        <v>26000</v>
      </c>
    </row>
    <row r="7" spans="1:11" s="166" customFormat="1" ht="26.25" customHeight="1" x14ac:dyDescent="0.2">
      <c r="A7" s="166" t="s">
        <v>19</v>
      </c>
      <c r="B7" s="221">
        <v>1</v>
      </c>
    </row>
    <row r="8" spans="1:11" s="166" customFormat="1" ht="26.25" customHeight="1" x14ac:dyDescent="0.2">
      <c r="A8" s="166" t="s">
        <v>20</v>
      </c>
      <c r="B8" s="221" t="s">
        <v>21</v>
      </c>
    </row>
    <row r="9" spans="1:11" s="166" customFormat="1" ht="26.25" customHeight="1" x14ac:dyDescent="0.2">
      <c r="A9" s="166" t="s">
        <v>22</v>
      </c>
      <c r="B9" s="221">
        <v>33</v>
      </c>
    </row>
    <row r="10" spans="1:11" s="168" customFormat="1" ht="26.25" customHeight="1" x14ac:dyDescent="0.2">
      <c r="A10" s="168" t="s">
        <v>23</v>
      </c>
      <c r="B10" s="220"/>
    </row>
    <row r="11" spans="1:11" s="166" customFormat="1" ht="26.25" customHeight="1" x14ac:dyDescent="0.2">
      <c r="A11" s="166" t="s">
        <v>24</v>
      </c>
      <c r="B11" s="221" t="s">
        <v>25</v>
      </c>
    </row>
    <row r="12" spans="1:11" s="166" customFormat="1" ht="26.25" customHeight="1" x14ac:dyDescent="0.2">
      <c r="A12" s="166" t="s">
        <v>26</v>
      </c>
      <c r="B12" s="221" t="s">
        <v>25</v>
      </c>
    </row>
    <row r="13" spans="1:11" s="166" customFormat="1" ht="26.25" customHeight="1" thickBot="1" x14ac:dyDescent="0.25">
      <c r="A13" s="124" t="s">
        <v>27</v>
      </c>
      <c r="B13" s="221" t="s">
        <v>28</v>
      </c>
    </row>
    <row r="14" spans="1:11" s="167" customFormat="1" ht="26.25" customHeight="1" x14ac:dyDescent="0.2">
      <c r="A14" s="168" t="s">
        <v>29</v>
      </c>
      <c r="B14" s="222"/>
    </row>
    <row r="15" spans="1:11" s="167" customFormat="1" ht="26.25" customHeight="1" x14ac:dyDescent="0.2">
      <c r="A15" s="166" t="s">
        <v>30</v>
      </c>
      <c r="B15" s="221" t="s">
        <v>31</v>
      </c>
    </row>
    <row r="16" spans="1:11" s="167" customFormat="1" ht="26.25" customHeight="1" x14ac:dyDescent="0.2">
      <c r="A16" s="166" t="s">
        <v>32</v>
      </c>
      <c r="B16" s="221" t="s">
        <v>28</v>
      </c>
    </row>
    <row r="17" spans="1:2" s="167" customFormat="1" ht="26.25" customHeight="1" x14ac:dyDescent="0.2">
      <c r="A17" s="166" t="s">
        <v>33</v>
      </c>
      <c r="B17" s="221" t="s">
        <v>34</v>
      </c>
    </row>
    <row r="18" spans="1:2" s="167" customFormat="1" ht="26.25" customHeight="1" x14ac:dyDescent="0.2">
      <c r="A18" s="166" t="s">
        <v>35</v>
      </c>
      <c r="B18" s="221" t="s">
        <v>31</v>
      </c>
    </row>
    <row r="19" spans="1:2" s="167" customFormat="1" ht="26.25" customHeight="1" x14ac:dyDescent="0.2">
      <c r="A19" s="168" t="s">
        <v>36</v>
      </c>
      <c r="B19" s="222"/>
    </row>
    <row r="20" spans="1:2" s="167" customFormat="1" ht="26.25" customHeight="1" x14ac:dyDescent="0.2">
      <c r="A20" s="166" t="s">
        <v>37</v>
      </c>
      <c r="B20" s="221" t="s">
        <v>38</v>
      </c>
    </row>
    <row r="21" spans="1:2" s="167" customFormat="1" ht="26.25" customHeight="1" x14ac:dyDescent="0.2">
      <c r="A21" s="168" t="s">
        <v>39</v>
      </c>
      <c r="B21" s="222"/>
    </row>
    <row r="22" spans="1:2" s="167" customFormat="1" ht="26.25" customHeight="1" x14ac:dyDescent="0.2">
      <c r="A22" s="166" t="s">
        <v>40</v>
      </c>
      <c r="B22" s="221" t="s">
        <v>41</v>
      </c>
    </row>
    <row r="23" spans="1:2" s="167" customFormat="1" ht="26.25" customHeight="1" x14ac:dyDescent="0.2">
      <c r="A23" s="166" t="s">
        <v>42</v>
      </c>
      <c r="B23" s="223"/>
    </row>
    <row r="24" spans="1:2" s="167" customFormat="1" ht="26.25" customHeight="1" x14ac:dyDescent="0.2">
      <c r="A24" s="199" t="s">
        <v>43</v>
      </c>
      <c r="B24" s="223"/>
    </row>
    <row r="25" spans="1:2" s="167" customFormat="1" ht="26.25" customHeight="1" x14ac:dyDescent="0.2">
      <c r="A25" s="200" t="s">
        <v>44</v>
      </c>
      <c r="B25" s="223"/>
    </row>
    <row r="26" spans="1:2" s="167" customFormat="1" ht="26.25" customHeight="1" x14ac:dyDescent="0.2">
      <c r="A26" s="200" t="s">
        <v>45</v>
      </c>
      <c r="B26" s="223"/>
    </row>
    <row r="27" spans="1:2" s="167" customFormat="1" ht="26.25" customHeight="1" x14ac:dyDescent="0.2">
      <c r="A27" s="168" t="s">
        <v>46</v>
      </c>
      <c r="B27" s="168"/>
    </row>
    <row r="28" spans="1:2" s="167" customFormat="1" ht="26.25" customHeight="1" x14ac:dyDescent="0.2">
      <c r="A28" s="166" t="s">
        <v>47</v>
      </c>
      <c r="B28" s="223"/>
    </row>
    <row r="29" spans="1:2" s="167" customFormat="1" ht="26.25" customHeight="1" x14ac:dyDescent="0.2">
      <c r="A29" s="166" t="s">
        <v>48</v>
      </c>
      <c r="B29" s="221" t="s">
        <v>49</v>
      </c>
    </row>
    <row r="30" spans="1:2" s="167" customFormat="1" ht="26.25" customHeight="1" x14ac:dyDescent="0.2">
      <c r="A30" s="166" t="s">
        <v>50</v>
      </c>
      <c r="B30" s="221" t="s">
        <v>51</v>
      </c>
    </row>
    <row r="31" spans="1:2" s="167" customFormat="1" ht="26.25" customHeight="1" x14ac:dyDescent="0.2">
      <c r="A31" s="166" t="s">
        <v>52</v>
      </c>
      <c r="B31" s="166" t="s">
        <v>53</v>
      </c>
    </row>
    <row r="32" spans="1:2" s="167" customFormat="1" ht="26.25" customHeight="1" x14ac:dyDescent="0.2">
      <c r="A32" s="166" t="s">
        <v>54</v>
      </c>
      <c r="B32" s="166" t="s">
        <v>55</v>
      </c>
    </row>
    <row r="33" spans="1:2" s="167" customFormat="1" ht="26.25" customHeight="1" x14ac:dyDescent="0.2">
      <c r="A33" s="166" t="s">
        <v>56</v>
      </c>
      <c r="B33" s="166" t="s">
        <v>57</v>
      </c>
    </row>
    <row r="34" spans="1:2" s="167" customFormat="1" ht="26.25" customHeight="1" x14ac:dyDescent="0.2">
      <c r="A34" s="166" t="s">
        <v>58</v>
      </c>
      <c r="B34" s="221" t="s">
        <v>51</v>
      </c>
    </row>
    <row r="35" spans="1:2" s="167" customFormat="1" ht="26.25" customHeight="1" x14ac:dyDescent="0.2">
      <c r="A35" s="166" t="s">
        <v>52</v>
      </c>
      <c r="B35" s="166" t="s">
        <v>53</v>
      </c>
    </row>
    <row r="36" spans="1:2" s="167" customFormat="1" ht="10" hidden="1" customHeight="1" x14ac:dyDescent="0.2">
      <c r="A36" s="166" t="s">
        <v>59</v>
      </c>
      <c r="B36" s="166"/>
    </row>
    <row r="37" spans="1:2" s="167" customFormat="1" ht="10" hidden="1" customHeight="1" x14ac:dyDescent="0.2">
      <c r="A37" s="166" t="s">
        <v>58</v>
      </c>
      <c r="B37" s="166"/>
    </row>
    <row r="38" spans="1:2" s="167" customFormat="1" ht="15" hidden="1" customHeight="1" x14ac:dyDescent="0.2">
      <c r="A38" s="166" t="s">
        <v>60</v>
      </c>
      <c r="B38" s="166"/>
    </row>
    <row r="39" spans="1:2" s="167" customFormat="1" ht="15" hidden="1" customHeight="1" x14ac:dyDescent="0.2">
      <c r="A39" s="166" t="s">
        <v>61</v>
      </c>
      <c r="B39" s="166"/>
    </row>
    <row r="40" spans="1:2" s="167" customFormat="1" ht="15" hidden="1" customHeight="1" x14ac:dyDescent="0.2">
      <c r="A40" s="166" t="s">
        <v>62</v>
      </c>
      <c r="B40" s="166"/>
    </row>
    <row r="41" spans="1:2" s="167" customFormat="1" ht="15" hidden="1" customHeight="1" x14ac:dyDescent="0.2">
      <c r="A41" s="166" t="s">
        <v>52</v>
      </c>
      <c r="B41" s="166"/>
    </row>
    <row r="42" spans="1:2" s="167" customFormat="1" ht="15" hidden="1" customHeight="1" x14ac:dyDescent="0.2">
      <c r="A42" s="166" t="s">
        <v>63</v>
      </c>
      <c r="B42" s="166"/>
    </row>
    <row r="43" spans="1:2" s="167" customFormat="1" ht="15" hidden="1" customHeight="1" thickBot="1" x14ac:dyDescent="0.25">
      <c r="A43" s="168" t="s">
        <v>64</v>
      </c>
      <c r="B43" s="166"/>
    </row>
    <row r="44" spans="1:2" s="167" customFormat="1" ht="15" hidden="1" customHeight="1" thickBot="1" x14ac:dyDescent="0.25">
      <c r="A44" s="166" t="s">
        <v>65</v>
      </c>
      <c r="B44" s="166"/>
    </row>
    <row r="45" spans="1:2" s="167" customFormat="1" ht="10" hidden="1" customHeight="1" x14ac:dyDescent="0.2">
      <c r="A45" s="166" t="s">
        <v>66</v>
      </c>
      <c r="B45" s="166"/>
    </row>
    <row r="46" spans="1:2" s="167" customFormat="1" ht="10" hidden="1" customHeight="1" x14ac:dyDescent="0.2">
      <c r="A46" s="166" t="s">
        <v>67</v>
      </c>
      <c r="B46" s="166"/>
    </row>
    <row r="47" spans="1:2" s="167" customFormat="1" ht="15" hidden="1" customHeight="1" x14ac:dyDescent="0.2">
      <c r="A47" s="166" t="s">
        <v>68</v>
      </c>
      <c r="B47" s="166"/>
    </row>
    <row r="48" spans="1:2" s="167" customFormat="1" ht="15" hidden="1" customHeight="1" x14ac:dyDescent="0.2">
      <c r="A48" s="166" t="s">
        <v>69</v>
      </c>
      <c r="B48" s="166"/>
    </row>
    <row r="49" spans="1:2" s="167" customFormat="1" ht="15" hidden="1" customHeight="1" x14ac:dyDescent="0.2">
      <c r="A49" s="169"/>
      <c r="B49" s="166"/>
    </row>
    <row r="50" spans="1:2" s="167" customFormat="1" ht="15" hidden="1" customHeight="1" x14ac:dyDescent="0.2">
      <c r="A50" s="169"/>
      <c r="B50" s="166"/>
    </row>
    <row r="51" spans="1:2" s="167" customFormat="1" ht="15" hidden="1" customHeight="1" x14ac:dyDescent="0.2">
      <c r="A51" s="169"/>
      <c r="B51" s="166"/>
    </row>
    <row r="52" spans="1:2" s="167" customFormat="1" ht="15" hidden="1" customHeight="1" thickBot="1" x14ac:dyDescent="0.25">
      <c r="A52" s="169"/>
      <c r="B52" s="166"/>
    </row>
    <row r="53" spans="1:2" s="167" customFormat="1" ht="15" hidden="1" customHeight="1" thickBot="1" x14ac:dyDescent="0.25">
      <c r="A53" s="169"/>
      <c r="B53" s="166"/>
    </row>
    <row r="54" spans="1:2" s="167" customFormat="1" ht="26.25" customHeight="1" x14ac:dyDescent="0.2">
      <c r="A54" s="169"/>
      <c r="B54" s="166"/>
    </row>
    <row r="55" spans="1:2" s="167" customFormat="1" ht="17.25" customHeight="1" x14ac:dyDescent="0.2">
      <c r="A55" s="169"/>
      <c r="B55" s="166"/>
    </row>
    <row r="56" spans="1:2" s="167" customFormat="1" ht="17.25" customHeight="1" x14ac:dyDescent="0.2">
      <c r="A56" s="168" t="s">
        <v>70</v>
      </c>
      <c r="B56" s="168"/>
    </row>
    <row r="57" spans="1:2" s="167" customFormat="1" ht="17.25" customHeight="1" x14ac:dyDescent="0.2">
      <c r="A57" s="169"/>
      <c r="B57" s="169"/>
    </row>
    <row r="58" spans="1:2" s="167" customFormat="1" ht="17.25" customHeight="1" x14ac:dyDescent="0.2">
      <c r="A58" s="169"/>
      <c r="B58" s="169"/>
    </row>
    <row r="59" spans="1:2" s="167" customFormat="1" ht="17.25" customHeight="1" x14ac:dyDescent="0.2">
      <c r="A59" s="169"/>
      <c r="B59" s="169"/>
    </row>
    <row r="60" spans="1:2" s="167" customFormat="1" ht="11" x14ac:dyDescent="0.2">
      <c r="A60" s="169"/>
      <c r="B60" s="169"/>
    </row>
    <row r="61" spans="1:2" s="167" customFormat="1" ht="11" x14ac:dyDescent="0.2">
      <c r="A61" s="169"/>
      <c r="B61" s="169"/>
    </row>
    <row r="62" spans="1:2" s="167" customFormat="1" ht="11" x14ac:dyDescent="0.2">
      <c r="A62" s="169"/>
      <c r="B62" s="169"/>
    </row>
    <row r="63" spans="1:2" s="167" customFormat="1" ht="11" x14ac:dyDescent="0.2">
      <c r="A63" s="169"/>
      <c r="B63" s="169"/>
    </row>
    <row r="64" spans="1:2" s="167" customFormat="1" ht="11" x14ac:dyDescent="0.2">
      <c r="A64" s="169"/>
      <c r="B64" s="169"/>
    </row>
    <row r="65" spans="1:11" s="44" customFormat="1" ht="11" x14ac:dyDescent="0.2">
      <c r="A65" s="169"/>
      <c r="B65" s="126"/>
    </row>
    <row r="66" spans="1:11" s="44" customFormat="1" ht="11" x14ac:dyDescent="0.2">
      <c r="A66" s="169"/>
      <c r="B66" s="126"/>
    </row>
    <row r="67" spans="1:11" s="44" customFormat="1" ht="11" x14ac:dyDescent="0.2">
      <c r="A67" s="126"/>
      <c r="B67" s="126"/>
    </row>
    <row r="68" spans="1:11" s="44" customFormat="1" ht="11" x14ac:dyDescent="0.2">
      <c r="A68" s="126"/>
      <c r="B68" s="126"/>
    </row>
    <row r="69" spans="1:11" s="44" customFormat="1" ht="11" x14ac:dyDescent="0.2">
      <c r="A69" s="126"/>
      <c r="B69" s="126"/>
    </row>
    <row r="70" spans="1:11" s="44" customFormat="1" ht="11" x14ac:dyDescent="0.2">
      <c r="A70" s="126"/>
      <c r="B70" s="126"/>
    </row>
    <row r="71" spans="1:11" s="44" customFormat="1" ht="11" x14ac:dyDescent="0.2">
      <c r="A71" s="126"/>
      <c r="B71" s="126"/>
    </row>
    <row r="72" spans="1:11" s="44" customFormat="1" ht="11" x14ac:dyDescent="0.2">
      <c r="A72" s="126"/>
      <c r="B72" s="126"/>
    </row>
    <row r="73" spans="1:11" s="44" customFormat="1" ht="11" x14ac:dyDescent="0.2">
      <c r="A73" s="126"/>
      <c r="B73" s="126"/>
    </row>
    <row r="74" spans="1:11" s="72" customFormat="1" ht="12" x14ac:dyDescent="0.2">
      <c r="A74" s="126"/>
      <c r="B74" s="224"/>
      <c r="J74" s="33"/>
      <c r="K74" s="33"/>
    </row>
    <row r="75" spans="1:11" s="72" customFormat="1" ht="12" x14ac:dyDescent="0.2">
      <c r="A75" s="126"/>
      <c r="B75" s="224"/>
      <c r="J75" s="33"/>
      <c r="K75" s="33"/>
    </row>
    <row r="76" spans="1:11" x14ac:dyDescent="0.2">
      <c r="A76" s="33"/>
    </row>
    <row r="77" spans="1:11" x14ac:dyDescent="0.2">
      <c r="A77" s="33"/>
    </row>
  </sheetData>
  <sheetProtection formatCells="0" formatColumns="0" formatRows="0" insertColumns="0" insertRows="0" insertHyperlinks="0" deleteColumns="0" deleteRows="0" selectLockedCells="1" sort="0" autoFilter="0" pivotTables="0"/>
  <dataValidations count="1">
    <dataValidation type="list" allowBlank="1" showInputMessage="1" showErrorMessage="1" sqref="I14:I16 I23:I35 I54" xr:uid="{00000000-0002-0000-0400-000000000000}">
      <formula1>$B$14:$B$18</formula1>
    </dataValidation>
  </dataValidations>
  <pageMargins left="0.7" right="0.7" top="0.75" bottom="0.75" header="0.3" footer="0.3"/>
  <pageSetup scale="53" fitToHeight="0" orientation="portrait" horizontalDpi="300" verticalDpi="300"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400-000001000000}">
          <x14:formula1>
            <xm:f>'CoBIT maturity key'!$B$4:$B$9</xm:f>
          </x14:formula1>
          <xm:sqref>C14:H35 I18:I21 C54:H54</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F7008A-7698-47EB-9E07-C94CD9750D81}">
  <sheetPr>
    <tabColor rgb="FF92D050"/>
  </sheetPr>
  <dimension ref="A1"/>
  <sheetViews>
    <sheetView workbookViewId="0"/>
  </sheetViews>
  <sheetFormatPr baseColWidth="10" defaultColWidth="8.83203125" defaultRowHeight="15" x14ac:dyDescent="0.2"/>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92D050"/>
    <pageSetUpPr fitToPage="1"/>
  </sheetPr>
  <dimension ref="A1:AF87"/>
  <sheetViews>
    <sheetView zoomScaleNormal="100" zoomScalePageLayoutView="125" workbookViewId="0">
      <pane ySplit="3" topLeftCell="A4" activePane="bottomLeft" state="frozen"/>
      <selection pane="bottomLeft" activeCell="C5" sqref="C5"/>
    </sheetView>
  </sheetViews>
  <sheetFormatPr baseColWidth="10" defaultColWidth="8.83203125" defaultRowHeight="15" x14ac:dyDescent="0.2"/>
  <cols>
    <col min="1" max="1" width="5.83203125" style="3" customWidth="1"/>
    <col min="2" max="2" width="76.83203125" style="176" customWidth="1"/>
    <col min="3" max="3" width="16.5" style="34" customWidth="1"/>
    <col min="4" max="6" width="12.5" style="34" hidden="1" customWidth="1"/>
    <col min="7" max="7" width="18.5" style="34" hidden="1" customWidth="1"/>
    <col min="8" max="8" width="21.5" style="34" hidden="1" customWidth="1"/>
    <col min="9" max="9" width="15.5" style="34" hidden="1" customWidth="1"/>
    <col min="10" max="10" width="51" style="73" hidden="1" customWidth="1"/>
    <col min="11" max="11" width="63.5" style="33" hidden="1" customWidth="1"/>
    <col min="12" max="12" width="11.1640625" style="34" hidden="1" customWidth="1"/>
    <col min="13" max="17" width="0" style="34" hidden="1" customWidth="1"/>
    <col min="18" max="18" width="64.5" style="34" customWidth="1"/>
    <col min="19" max="16384" width="8.83203125" style="34"/>
  </cols>
  <sheetData>
    <row r="1" spans="1:32" s="58" customFormat="1" ht="29.25" customHeight="1" x14ac:dyDescent="0.2">
      <c r="A1" s="56"/>
      <c r="B1" s="172"/>
    </row>
    <row r="2" spans="1:32" s="30" customFormat="1" ht="22.5" customHeight="1" x14ac:dyDescent="0.2">
      <c r="A2" s="173" t="s">
        <v>6</v>
      </c>
      <c r="B2" s="173"/>
      <c r="J2" s="31"/>
      <c r="K2" s="31"/>
    </row>
    <row r="3" spans="1:32" s="26" customFormat="1" ht="16.5" customHeight="1" x14ac:dyDescent="0.2">
      <c r="A3" s="174" t="s">
        <v>71</v>
      </c>
      <c r="B3" s="174" t="s">
        <v>72</v>
      </c>
      <c r="C3" s="27" t="s">
        <v>73</v>
      </c>
      <c r="D3" s="27" t="s">
        <v>4</v>
      </c>
      <c r="E3" s="27" t="s">
        <v>5</v>
      </c>
      <c r="F3" s="27" t="s">
        <v>74</v>
      </c>
      <c r="G3" s="27" t="s">
        <v>4</v>
      </c>
      <c r="H3" s="27" t="s">
        <v>5</v>
      </c>
      <c r="I3" s="27" t="s">
        <v>74</v>
      </c>
      <c r="R3" s="26" t="s">
        <v>75</v>
      </c>
    </row>
    <row r="4" spans="1:32" s="66" customFormat="1" ht="21" customHeight="1" x14ac:dyDescent="0.2">
      <c r="A4" s="65" t="s">
        <v>76</v>
      </c>
      <c r="B4" s="65"/>
    </row>
    <row r="5" spans="1:32" s="35" customFormat="1" ht="21" customHeight="1" x14ac:dyDescent="0.2">
      <c r="A5" s="35" t="s">
        <v>77</v>
      </c>
      <c r="B5" s="35" t="s">
        <v>78</v>
      </c>
      <c r="C5" s="197" t="s">
        <v>98</v>
      </c>
      <c r="D5" s="54"/>
      <c r="E5" s="54"/>
      <c r="F5" s="54"/>
      <c r="G5" s="54"/>
      <c r="H5" s="54">
        <v>4</v>
      </c>
      <c r="I5" s="54">
        <v>5</v>
      </c>
      <c r="J5" s="112" t="s">
        <v>80</v>
      </c>
      <c r="K5" s="112"/>
      <c r="L5" s="112"/>
      <c r="M5" s="112"/>
      <c r="N5" s="112"/>
      <c r="O5" s="112"/>
      <c r="P5" s="112"/>
      <c r="Q5" s="112"/>
      <c r="R5" s="112"/>
      <c r="S5" s="112"/>
      <c r="T5" s="112"/>
      <c r="U5" s="112"/>
      <c r="V5" s="112"/>
      <c r="W5" s="112"/>
      <c r="X5" s="112"/>
      <c r="Y5" s="112"/>
      <c r="Z5" s="112"/>
      <c r="AA5" s="112"/>
      <c r="AB5" s="112"/>
      <c r="AC5" s="112"/>
      <c r="AD5" s="112"/>
      <c r="AE5" s="112"/>
      <c r="AF5" s="112"/>
    </row>
    <row r="6" spans="1:32" s="44" customFormat="1" ht="21" customHeight="1" x14ac:dyDescent="0.2">
      <c r="A6" s="44" t="s">
        <v>81</v>
      </c>
      <c r="B6" s="44" t="s">
        <v>82</v>
      </c>
      <c r="C6" s="197" t="s">
        <v>98</v>
      </c>
      <c r="D6" s="54"/>
      <c r="E6" s="54"/>
      <c r="F6" s="54"/>
      <c r="G6" s="54"/>
      <c r="H6" s="54">
        <v>4</v>
      </c>
      <c r="I6" s="54">
        <v>5</v>
      </c>
      <c r="J6" s="113"/>
      <c r="K6" s="113"/>
      <c r="L6" s="113"/>
      <c r="M6" s="113"/>
      <c r="N6" s="113"/>
      <c r="O6" s="113"/>
      <c r="P6" s="113"/>
      <c r="Q6" s="113"/>
      <c r="R6" s="113"/>
      <c r="S6" s="113"/>
      <c r="T6" s="113"/>
      <c r="U6" s="113"/>
      <c r="V6" s="113"/>
      <c r="W6" s="113"/>
      <c r="X6" s="113"/>
      <c r="Y6" s="113"/>
      <c r="Z6" s="113"/>
      <c r="AA6" s="113"/>
      <c r="AB6" s="113"/>
      <c r="AC6" s="113"/>
      <c r="AD6" s="113"/>
      <c r="AE6" s="113"/>
      <c r="AF6" s="113"/>
    </row>
    <row r="7" spans="1:32" s="35" customFormat="1" ht="21" customHeight="1" x14ac:dyDescent="0.2">
      <c r="A7" s="35" t="s">
        <v>83</v>
      </c>
      <c r="B7" s="35" t="s">
        <v>84</v>
      </c>
      <c r="C7" s="197" t="s">
        <v>98</v>
      </c>
      <c r="D7" s="54"/>
      <c r="E7" s="54"/>
      <c r="F7" s="54"/>
      <c r="G7" s="54"/>
      <c r="H7" s="54">
        <v>4</v>
      </c>
      <c r="I7" s="54">
        <v>5</v>
      </c>
      <c r="J7" s="112" t="s">
        <v>85</v>
      </c>
      <c r="K7" s="112"/>
      <c r="L7" s="112"/>
      <c r="M7" s="112"/>
      <c r="N7" s="112"/>
      <c r="O7" s="112"/>
      <c r="P7" s="112"/>
      <c r="Q7" s="112"/>
      <c r="R7" s="112"/>
      <c r="S7" s="112"/>
      <c r="T7" s="112"/>
      <c r="U7" s="112"/>
      <c r="V7" s="112"/>
      <c r="W7" s="112"/>
      <c r="X7" s="112"/>
      <c r="Y7" s="112"/>
      <c r="Z7" s="112"/>
      <c r="AA7" s="112"/>
      <c r="AB7" s="112"/>
      <c r="AC7" s="112"/>
      <c r="AD7" s="112"/>
      <c r="AE7" s="112"/>
      <c r="AF7" s="112"/>
    </row>
    <row r="8" spans="1:32" s="32" customFormat="1" ht="21" customHeight="1" x14ac:dyDescent="0.2">
      <c r="A8" s="32" t="s">
        <v>86</v>
      </c>
      <c r="B8" s="32" t="s">
        <v>87</v>
      </c>
      <c r="C8" s="197" t="s">
        <v>373</v>
      </c>
      <c r="D8" s="54"/>
      <c r="E8" s="54"/>
      <c r="F8" s="54"/>
      <c r="G8" s="54"/>
      <c r="H8" s="54">
        <v>4</v>
      </c>
      <c r="I8" s="54">
        <v>5</v>
      </c>
      <c r="J8" s="114" t="s">
        <v>88</v>
      </c>
      <c r="K8" s="114"/>
      <c r="L8" s="114"/>
      <c r="M8" s="114"/>
      <c r="N8" s="114"/>
      <c r="O8" s="114"/>
      <c r="P8" s="114"/>
      <c r="Q8" s="114"/>
      <c r="R8" s="114"/>
      <c r="S8" s="114"/>
      <c r="T8" s="114"/>
      <c r="U8" s="114"/>
      <c r="V8" s="114"/>
      <c r="W8" s="114"/>
      <c r="X8" s="114"/>
      <c r="Y8" s="114"/>
      <c r="Z8" s="114"/>
      <c r="AA8" s="114"/>
      <c r="AB8" s="114"/>
      <c r="AC8" s="114"/>
      <c r="AD8" s="114"/>
      <c r="AE8" s="114"/>
      <c r="AF8" s="114"/>
    </row>
    <row r="9" spans="1:32" s="44" customFormat="1" ht="21" customHeight="1" x14ac:dyDescent="0.2">
      <c r="A9" s="35" t="s">
        <v>89</v>
      </c>
      <c r="B9" s="44" t="s">
        <v>90</v>
      </c>
      <c r="C9" s="197" t="s">
        <v>373</v>
      </c>
      <c r="D9" s="120"/>
      <c r="E9" s="120"/>
      <c r="F9" s="120"/>
      <c r="G9" s="54"/>
      <c r="H9" s="54">
        <v>4</v>
      </c>
      <c r="I9" s="120"/>
      <c r="J9" s="113"/>
      <c r="K9" s="113"/>
      <c r="L9" s="113"/>
      <c r="M9" s="113"/>
      <c r="N9" s="113"/>
      <c r="O9" s="113"/>
      <c r="P9" s="113"/>
      <c r="Q9" s="113"/>
      <c r="R9" s="113"/>
      <c r="S9" s="113"/>
      <c r="T9" s="113"/>
      <c r="U9" s="113"/>
      <c r="V9" s="113"/>
      <c r="W9" s="113"/>
      <c r="X9" s="113"/>
      <c r="Y9" s="113"/>
      <c r="Z9" s="113"/>
      <c r="AA9" s="113"/>
      <c r="AB9" s="113"/>
      <c r="AC9" s="113"/>
      <c r="AD9" s="113"/>
      <c r="AE9" s="113"/>
      <c r="AF9" s="113"/>
    </row>
    <row r="10" spans="1:32" s="44" customFormat="1" ht="21" customHeight="1" x14ac:dyDescent="0.2">
      <c r="A10" s="32" t="s">
        <v>91</v>
      </c>
      <c r="B10" s="201" t="s">
        <v>92</v>
      </c>
      <c r="C10" s="197"/>
      <c r="D10" s="120"/>
      <c r="E10" s="120"/>
      <c r="F10" s="120"/>
      <c r="G10" s="120"/>
      <c r="H10" s="120"/>
      <c r="I10" s="120"/>
      <c r="J10" s="113"/>
      <c r="K10" s="113"/>
      <c r="L10" s="113"/>
      <c r="M10" s="113"/>
      <c r="N10" s="113"/>
      <c r="O10" s="113"/>
      <c r="P10" s="113"/>
      <c r="Q10" s="113"/>
      <c r="R10" s="113"/>
      <c r="S10" s="113"/>
      <c r="T10" s="113"/>
      <c r="U10" s="113"/>
      <c r="V10" s="113"/>
      <c r="W10" s="113"/>
      <c r="X10" s="113"/>
      <c r="Y10" s="113"/>
      <c r="Z10" s="113"/>
      <c r="AA10" s="113"/>
      <c r="AB10" s="113"/>
      <c r="AC10" s="113"/>
      <c r="AD10" s="113"/>
      <c r="AE10" s="113"/>
      <c r="AF10" s="113"/>
    </row>
    <row r="11" spans="1:32" s="44" customFormat="1" ht="21" customHeight="1" x14ac:dyDescent="0.2">
      <c r="A11" s="35" t="s">
        <v>93</v>
      </c>
      <c r="B11" s="44" t="s">
        <v>94</v>
      </c>
      <c r="C11" s="197" t="s">
        <v>79</v>
      </c>
      <c r="D11" s="120"/>
      <c r="E11" s="120"/>
      <c r="F11" s="120"/>
      <c r="G11" s="120"/>
      <c r="H11" s="120"/>
      <c r="I11" s="120"/>
      <c r="J11" s="113"/>
      <c r="K11" s="113"/>
      <c r="L11" s="113"/>
      <c r="M11" s="113"/>
      <c r="N11" s="113"/>
      <c r="O11" s="113"/>
      <c r="P11" s="113"/>
      <c r="Q11" s="113"/>
      <c r="R11" s="113"/>
      <c r="S11" s="113"/>
      <c r="T11" s="113"/>
      <c r="U11" s="113"/>
      <c r="V11" s="113"/>
      <c r="W11" s="113"/>
      <c r="X11" s="113"/>
      <c r="Y11" s="113"/>
      <c r="Z11" s="113"/>
      <c r="AA11" s="113"/>
      <c r="AB11" s="113"/>
      <c r="AC11" s="113"/>
      <c r="AD11" s="113"/>
      <c r="AE11" s="113"/>
      <c r="AF11" s="113"/>
    </row>
    <row r="12" spans="1:32" s="66" customFormat="1" ht="21" customHeight="1" x14ac:dyDescent="0.2">
      <c r="A12" s="65" t="s">
        <v>95</v>
      </c>
      <c r="B12" s="65"/>
    </row>
    <row r="13" spans="1:32" s="32" customFormat="1" ht="21" customHeight="1" x14ac:dyDescent="0.2">
      <c r="A13" s="32" t="s">
        <v>96</v>
      </c>
      <c r="B13" s="32" t="s">
        <v>97</v>
      </c>
      <c r="C13" s="197" t="s">
        <v>98</v>
      </c>
      <c r="D13" s="54"/>
      <c r="E13" s="54"/>
      <c r="F13" s="54"/>
      <c r="G13" s="54"/>
      <c r="H13" s="54">
        <v>4</v>
      </c>
      <c r="I13" s="54">
        <v>5</v>
      </c>
      <c r="J13" s="114" t="s">
        <v>99</v>
      </c>
      <c r="K13" s="114"/>
      <c r="L13" s="114"/>
      <c r="M13" s="114"/>
      <c r="N13" s="114"/>
      <c r="O13" s="114"/>
      <c r="P13" s="114"/>
      <c r="Q13" s="114"/>
      <c r="R13" s="114"/>
      <c r="S13" s="114"/>
      <c r="T13" s="114"/>
      <c r="U13" s="114"/>
      <c r="V13" s="114"/>
      <c r="W13" s="114"/>
      <c r="X13" s="114"/>
      <c r="Y13" s="114"/>
      <c r="Z13" s="114"/>
      <c r="AA13" s="114"/>
      <c r="AB13" s="114"/>
      <c r="AC13" s="114"/>
      <c r="AD13" s="114"/>
      <c r="AE13" s="114"/>
      <c r="AF13" s="114"/>
    </row>
    <row r="14" spans="1:32" s="35" customFormat="1" ht="21" customHeight="1" x14ac:dyDescent="0.2">
      <c r="A14" s="35" t="s">
        <v>100</v>
      </c>
      <c r="B14" s="35" t="s">
        <v>101</v>
      </c>
      <c r="C14" s="197" t="s">
        <v>98</v>
      </c>
      <c r="D14" s="54"/>
      <c r="E14" s="54"/>
      <c r="F14" s="54"/>
      <c r="G14" s="54"/>
      <c r="H14" s="54">
        <v>4</v>
      </c>
      <c r="I14" s="54">
        <v>5</v>
      </c>
      <c r="J14" s="112"/>
      <c r="K14" s="112" t="s">
        <v>102</v>
      </c>
      <c r="L14" s="112"/>
      <c r="M14" s="112"/>
      <c r="N14" s="112"/>
      <c r="O14" s="112"/>
      <c r="P14" s="112"/>
      <c r="Q14" s="112"/>
      <c r="R14" s="112"/>
      <c r="S14" s="112"/>
      <c r="T14" s="112"/>
      <c r="U14" s="112"/>
      <c r="V14" s="112"/>
      <c r="W14" s="112"/>
      <c r="X14" s="112"/>
      <c r="Y14" s="112"/>
      <c r="Z14" s="112"/>
      <c r="AA14" s="112"/>
      <c r="AB14" s="112"/>
      <c r="AC14" s="112"/>
      <c r="AD14" s="112"/>
      <c r="AE14" s="112"/>
      <c r="AF14" s="112"/>
    </row>
    <row r="15" spans="1:32" s="32" customFormat="1" ht="21" customHeight="1" x14ac:dyDescent="0.2">
      <c r="A15" s="32" t="s">
        <v>103</v>
      </c>
      <c r="B15" s="32" t="s">
        <v>104</v>
      </c>
      <c r="C15" s="197" t="s">
        <v>98</v>
      </c>
      <c r="D15" s="54"/>
      <c r="E15" s="54"/>
      <c r="F15" s="54"/>
      <c r="G15" s="54"/>
      <c r="H15" s="54">
        <v>4</v>
      </c>
      <c r="I15" s="54">
        <v>5</v>
      </c>
      <c r="J15" s="114"/>
      <c r="K15" s="114"/>
      <c r="L15" s="114"/>
      <c r="M15" s="114"/>
      <c r="N15" s="114"/>
      <c r="O15" s="114"/>
      <c r="P15" s="114"/>
      <c r="Q15" s="114"/>
      <c r="R15" s="114"/>
      <c r="S15" s="114"/>
      <c r="T15" s="114"/>
      <c r="U15" s="114"/>
      <c r="V15" s="114"/>
      <c r="W15" s="114"/>
      <c r="X15" s="114"/>
      <c r="Y15" s="114"/>
      <c r="Z15" s="114"/>
      <c r="AA15" s="114"/>
      <c r="AB15" s="114"/>
      <c r="AC15" s="114"/>
      <c r="AD15" s="114"/>
      <c r="AE15" s="114"/>
      <c r="AF15" s="114"/>
    </row>
    <row r="16" spans="1:32" s="35" customFormat="1" ht="21" customHeight="1" x14ac:dyDescent="0.2">
      <c r="A16" s="35" t="s">
        <v>105</v>
      </c>
      <c r="B16" s="35" t="s">
        <v>106</v>
      </c>
      <c r="C16" s="197" t="s">
        <v>98</v>
      </c>
      <c r="D16" s="54"/>
      <c r="E16" s="54"/>
      <c r="F16" s="54"/>
      <c r="G16" s="54"/>
      <c r="H16" s="54">
        <v>4</v>
      </c>
      <c r="I16" s="54">
        <v>5</v>
      </c>
      <c r="J16" s="112"/>
      <c r="K16" s="112"/>
      <c r="L16" s="112"/>
      <c r="M16" s="112"/>
      <c r="N16" s="112"/>
      <c r="O16" s="112"/>
      <c r="P16" s="112"/>
      <c r="Q16" s="112"/>
      <c r="R16" s="112"/>
      <c r="S16" s="112"/>
      <c r="T16" s="112"/>
      <c r="U16" s="112"/>
      <c r="V16" s="112"/>
      <c r="W16" s="112"/>
      <c r="X16" s="112"/>
      <c r="Y16" s="112"/>
      <c r="Z16" s="112"/>
      <c r="AA16" s="112"/>
      <c r="AB16" s="112"/>
      <c r="AC16" s="112"/>
      <c r="AD16" s="112"/>
      <c r="AE16" s="112"/>
      <c r="AF16" s="112"/>
    </row>
    <row r="17" spans="1:32" s="32" customFormat="1" ht="21" customHeight="1" x14ac:dyDescent="0.2">
      <c r="A17" s="32" t="s">
        <v>107</v>
      </c>
      <c r="B17" s="32" t="s">
        <v>108</v>
      </c>
      <c r="C17" s="197"/>
      <c r="D17" s="54"/>
      <c r="E17" s="54"/>
      <c r="F17" s="54"/>
      <c r="G17" s="54"/>
      <c r="H17" s="54">
        <v>4</v>
      </c>
      <c r="I17" s="54">
        <v>5</v>
      </c>
      <c r="J17" s="114"/>
      <c r="K17" s="114"/>
      <c r="L17" s="114"/>
      <c r="M17" s="114"/>
      <c r="N17" s="114"/>
      <c r="O17" s="114"/>
      <c r="P17" s="114"/>
      <c r="Q17" s="114"/>
      <c r="R17" s="114"/>
      <c r="S17" s="114"/>
      <c r="T17" s="114"/>
      <c r="U17" s="114"/>
      <c r="V17" s="114"/>
      <c r="W17" s="114"/>
      <c r="X17" s="114"/>
      <c r="Y17" s="114"/>
      <c r="Z17" s="114"/>
      <c r="AA17" s="114"/>
      <c r="AB17" s="114"/>
      <c r="AC17" s="114"/>
      <c r="AD17" s="114"/>
      <c r="AE17" s="114"/>
      <c r="AF17" s="114"/>
    </row>
    <row r="18" spans="1:32" s="35" customFormat="1" ht="21" customHeight="1" x14ac:dyDescent="0.2">
      <c r="A18" s="35" t="s">
        <v>109</v>
      </c>
      <c r="B18" s="35" t="s">
        <v>110</v>
      </c>
      <c r="C18" s="197"/>
      <c r="D18" s="54"/>
      <c r="E18" s="54"/>
      <c r="F18" s="54"/>
      <c r="G18" s="54"/>
      <c r="H18" s="54">
        <v>4</v>
      </c>
      <c r="I18" s="54">
        <v>5</v>
      </c>
      <c r="J18" s="112"/>
      <c r="K18" s="112"/>
      <c r="L18" s="112"/>
      <c r="M18" s="112"/>
      <c r="N18" s="112"/>
      <c r="O18" s="112"/>
      <c r="P18" s="112"/>
      <c r="Q18" s="112"/>
      <c r="R18" s="112"/>
      <c r="S18" s="112"/>
      <c r="T18" s="112"/>
      <c r="U18" s="112"/>
      <c r="V18" s="112"/>
      <c r="W18" s="112"/>
      <c r="X18" s="112"/>
      <c r="Y18" s="112"/>
      <c r="Z18" s="112"/>
      <c r="AA18" s="112"/>
      <c r="AB18" s="112"/>
      <c r="AC18" s="112"/>
      <c r="AD18" s="112"/>
      <c r="AE18" s="112"/>
      <c r="AF18" s="112"/>
    </row>
    <row r="19" spans="1:32" s="32" customFormat="1" ht="21" customHeight="1" x14ac:dyDescent="0.2">
      <c r="A19" s="32" t="s">
        <v>111</v>
      </c>
      <c r="B19" s="32" t="s">
        <v>112</v>
      </c>
      <c r="C19" s="197" t="s">
        <v>98</v>
      </c>
      <c r="D19" s="54"/>
      <c r="E19" s="54"/>
      <c r="F19" s="54"/>
      <c r="G19" s="54"/>
      <c r="H19" s="54">
        <v>4</v>
      </c>
      <c r="I19" s="54">
        <v>5</v>
      </c>
      <c r="J19" s="114"/>
      <c r="K19" s="114"/>
      <c r="L19" s="114"/>
      <c r="M19" s="114"/>
      <c r="N19" s="114"/>
      <c r="O19" s="114"/>
      <c r="P19" s="114"/>
      <c r="Q19" s="114"/>
      <c r="R19" s="114"/>
      <c r="S19" s="114"/>
      <c r="T19" s="114"/>
      <c r="U19" s="114"/>
      <c r="V19" s="114"/>
      <c r="W19" s="114"/>
      <c r="X19" s="114"/>
      <c r="Y19" s="114"/>
      <c r="Z19" s="114"/>
      <c r="AA19" s="114"/>
      <c r="AB19" s="114"/>
      <c r="AC19" s="114"/>
      <c r="AD19" s="114"/>
      <c r="AE19" s="114"/>
      <c r="AF19" s="114"/>
    </row>
    <row r="20" spans="1:32" s="35" customFormat="1" ht="21" customHeight="1" x14ac:dyDescent="0.2">
      <c r="A20" s="35" t="s">
        <v>113</v>
      </c>
      <c r="B20" s="35" t="s">
        <v>114</v>
      </c>
      <c r="C20" s="197" t="s">
        <v>98</v>
      </c>
      <c r="D20" s="54"/>
      <c r="E20" s="54"/>
      <c r="F20" s="54"/>
      <c r="G20" s="54"/>
      <c r="H20" s="54">
        <v>4</v>
      </c>
      <c r="I20" s="54">
        <v>5</v>
      </c>
      <c r="J20" s="112"/>
      <c r="K20" s="112"/>
      <c r="L20" s="112"/>
      <c r="M20" s="112"/>
      <c r="N20" s="112"/>
      <c r="O20" s="112"/>
      <c r="P20" s="112"/>
      <c r="Q20" s="112"/>
      <c r="R20" s="112"/>
      <c r="S20" s="112"/>
      <c r="T20" s="112"/>
      <c r="U20" s="112"/>
      <c r="V20" s="112"/>
      <c r="W20" s="112"/>
      <c r="X20" s="112"/>
      <c r="Y20" s="112"/>
      <c r="Z20" s="112"/>
      <c r="AA20" s="112"/>
      <c r="AB20" s="112"/>
      <c r="AC20" s="112"/>
      <c r="AD20" s="112"/>
      <c r="AE20" s="112"/>
      <c r="AF20" s="112"/>
    </row>
    <row r="21" spans="1:32" s="66" customFormat="1" ht="21" customHeight="1" x14ac:dyDescent="0.2">
      <c r="A21" s="65" t="s">
        <v>115</v>
      </c>
      <c r="B21" s="65"/>
    </row>
    <row r="22" spans="1:32" s="53" customFormat="1" ht="21" customHeight="1" x14ac:dyDescent="0.2">
      <c r="A22" s="53" t="s">
        <v>116</v>
      </c>
      <c r="B22" s="53" t="s">
        <v>117</v>
      </c>
      <c r="C22" s="197" t="s">
        <v>373</v>
      </c>
      <c r="D22" s="54"/>
      <c r="E22" s="54"/>
      <c r="F22" s="54"/>
      <c r="G22" s="54"/>
      <c r="H22" s="54">
        <v>4</v>
      </c>
      <c r="I22" s="54">
        <v>5</v>
      </c>
      <c r="J22" s="115"/>
      <c r="K22" s="115"/>
      <c r="L22" s="115"/>
      <c r="M22" s="115"/>
      <c r="N22" s="115"/>
      <c r="O22" s="115"/>
      <c r="P22" s="115"/>
      <c r="Q22" s="115"/>
      <c r="R22" s="115"/>
      <c r="S22" s="115"/>
      <c r="T22" s="115"/>
      <c r="U22" s="115"/>
      <c r="V22" s="115"/>
      <c r="W22" s="115"/>
      <c r="X22" s="115"/>
      <c r="Y22" s="115"/>
      <c r="Z22" s="115"/>
      <c r="AA22" s="115"/>
      <c r="AB22" s="115"/>
      <c r="AC22" s="115"/>
      <c r="AD22" s="115"/>
      <c r="AE22" s="115"/>
      <c r="AF22" s="115"/>
    </row>
    <row r="23" spans="1:32" s="32" customFormat="1" ht="21" customHeight="1" x14ac:dyDescent="0.2">
      <c r="A23" s="32" t="s">
        <v>118</v>
      </c>
      <c r="B23" s="32" t="s">
        <v>119</v>
      </c>
      <c r="C23" s="197" t="s">
        <v>373</v>
      </c>
      <c r="D23" s="54"/>
      <c r="E23" s="54"/>
      <c r="F23" s="54"/>
      <c r="G23" s="54"/>
      <c r="H23" s="54">
        <v>4</v>
      </c>
      <c r="I23" s="54">
        <v>5</v>
      </c>
      <c r="J23" s="114"/>
      <c r="K23" s="114"/>
      <c r="L23" s="114"/>
      <c r="M23" s="114"/>
      <c r="N23" s="114"/>
      <c r="O23" s="114"/>
      <c r="P23" s="114"/>
      <c r="Q23" s="114"/>
      <c r="R23" s="114"/>
      <c r="S23" s="114"/>
      <c r="T23" s="114"/>
      <c r="U23" s="114"/>
      <c r="V23" s="114"/>
      <c r="W23" s="114"/>
      <c r="X23" s="114"/>
      <c r="Y23" s="114"/>
      <c r="Z23" s="114"/>
      <c r="AA23" s="114"/>
      <c r="AB23" s="114"/>
      <c r="AC23" s="114"/>
      <c r="AD23" s="114"/>
      <c r="AE23" s="114"/>
      <c r="AF23" s="114"/>
    </row>
    <row r="24" spans="1:32" s="44" customFormat="1" ht="21" customHeight="1" x14ac:dyDescent="0.2">
      <c r="A24" s="53" t="s">
        <v>120</v>
      </c>
      <c r="B24" s="201" t="s">
        <v>121</v>
      </c>
      <c r="C24" s="197" t="s">
        <v>370</v>
      </c>
      <c r="D24" s="120"/>
      <c r="E24" s="120"/>
      <c r="F24" s="120"/>
      <c r="G24" s="54"/>
      <c r="H24" s="54"/>
      <c r="I24" s="120"/>
      <c r="J24" s="113"/>
      <c r="K24" s="113"/>
      <c r="L24" s="113"/>
      <c r="M24" s="113"/>
      <c r="N24" s="113"/>
      <c r="O24" s="113"/>
      <c r="P24" s="113"/>
      <c r="Q24" s="113"/>
      <c r="R24" s="113"/>
      <c r="S24" s="113"/>
      <c r="T24" s="113"/>
      <c r="U24" s="113"/>
      <c r="V24" s="113"/>
      <c r="W24" s="113"/>
      <c r="X24" s="113"/>
      <c r="Y24" s="113"/>
      <c r="Z24" s="113"/>
      <c r="AA24" s="113"/>
      <c r="AB24" s="113"/>
      <c r="AC24" s="113"/>
      <c r="AD24" s="113"/>
      <c r="AE24" s="113"/>
      <c r="AF24" s="113"/>
    </row>
    <row r="25" spans="1:32" s="44" customFormat="1" ht="21" customHeight="1" x14ac:dyDescent="0.2">
      <c r="A25" s="32" t="s">
        <v>122</v>
      </c>
      <c r="B25" s="201" t="s">
        <v>123</v>
      </c>
      <c r="C25" s="197" t="s">
        <v>370</v>
      </c>
      <c r="D25" s="120"/>
      <c r="E25" s="120"/>
      <c r="F25" s="120"/>
      <c r="G25" s="54"/>
      <c r="H25" s="54"/>
      <c r="I25" s="120"/>
      <c r="J25" s="113"/>
      <c r="K25" s="113"/>
      <c r="L25" s="113"/>
      <c r="M25" s="113"/>
      <c r="N25" s="113"/>
      <c r="O25" s="113"/>
      <c r="P25" s="113"/>
      <c r="Q25" s="113"/>
      <c r="R25" s="113"/>
      <c r="S25" s="113"/>
      <c r="T25" s="113"/>
      <c r="U25" s="113"/>
      <c r="V25" s="113"/>
      <c r="W25" s="113"/>
      <c r="X25" s="113"/>
      <c r="Y25" s="113"/>
      <c r="Z25" s="113"/>
      <c r="AA25" s="113"/>
      <c r="AB25" s="113"/>
      <c r="AC25" s="113"/>
      <c r="AD25" s="113"/>
      <c r="AE25" s="113"/>
      <c r="AF25" s="113"/>
    </row>
    <row r="26" spans="1:32" s="44" customFormat="1" ht="21" customHeight="1" x14ac:dyDescent="0.2">
      <c r="A26" s="53" t="s">
        <v>124</v>
      </c>
      <c r="B26" s="201" t="s">
        <v>125</v>
      </c>
      <c r="C26" s="197" t="s">
        <v>370</v>
      </c>
      <c r="D26" s="120"/>
      <c r="E26" s="120"/>
      <c r="F26" s="120"/>
      <c r="G26" s="54"/>
      <c r="H26" s="54"/>
      <c r="I26" s="120"/>
      <c r="J26" s="113"/>
      <c r="K26" s="113"/>
      <c r="L26" s="113"/>
      <c r="M26" s="113"/>
      <c r="N26" s="113"/>
      <c r="O26" s="113"/>
      <c r="P26" s="113"/>
      <c r="Q26" s="113"/>
      <c r="R26" s="113"/>
      <c r="S26" s="113"/>
      <c r="T26" s="113"/>
      <c r="U26" s="113"/>
      <c r="V26" s="113"/>
      <c r="W26" s="113"/>
      <c r="X26" s="113"/>
      <c r="Y26" s="113"/>
      <c r="Z26" s="113"/>
      <c r="AA26" s="113"/>
      <c r="AB26" s="113"/>
      <c r="AC26" s="113"/>
      <c r="AD26" s="113"/>
      <c r="AE26" s="113"/>
      <c r="AF26" s="113"/>
    </row>
    <row r="27" spans="1:32" s="44" customFormat="1" ht="21" customHeight="1" x14ac:dyDescent="0.2">
      <c r="A27" s="32" t="s">
        <v>126</v>
      </c>
      <c r="B27" s="44" t="s">
        <v>127</v>
      </c>
      <c r="C27" s="197" t="s">
        <v>364</v>
      </c>
      <c r="D27" s="120"/>
      <c r="E27" s="120"/>
      <c r="F27" s="120"/>
      <c r="G27" s="54"/>
      <c r="H27" s="54"/>
      <c r="I27" s="120"/>
      <c r="J27" s="113"/>
      <c r="K27" s="113"/>
      <c r="L27" s="113"/>
      <c r="M27" s="113"/>
      <c r="N27" s="113"/>
      <c r="O27" s="113"/>
      <c r="P27" s="113"/>
      <c r="Q27" s="113"/>
      <c r="R27" s="113"/>
      <c r="S27" s="113"/>
      <c r="T27" s="113"/>
      <c r="U27" s="113"/>
      <c r="V27" s="113"/>
      <c r="W27" s="113"/>
      <c r="X27" s="113"/>
      <c r="Y27" s="113"/>
      <c r="Z27" s="113"/>
      <c r="AA27" s="113"/>
      <c r="AB27" s="113"/>
      <c r="AC27" s="113"/>
      <c r="AD27" s="113"/>
      <c r="AE27" s="113"/>
      <c r="AF27" s="113"/>
    </row>
    <row r="28" spans="1:32" s="66" customFormat="1" ht="21" customHeight="1" x14ac:dyDescent="0.2">
      <c r="A28" s="65" t="s">
        <v>128</v>
      </c>
      <c r="B28" s="65"/>
    </row>
    <row r="29" spans="1:32" s="32" customFormat="1" ht="21" customHeight="1" x14ac:dyDescent="0.2">
      <c r="A29" s="32" t="s">
        <v>129</v>
      </c>
      <c r="B29" s="32" t="s">
        <v>130</v>
      </c>
      <c r="C29" s="197" t="s">
        <v>98</v>
      </c>
      <c r="D29" s="54"/>
      <c r="E29" s="54"/>
      <c r="F29" s="54"/>
      <c r="G29" s="54"/>
      <c r="H29" s="54">
        <v>4</v>
      </c>
      <c r="I29" s="54">
        <v>5</v>
      </c>
      <c r="J29" s="114"/>
      <c r="K29" s="114"/>
      <c r="L29" s="114"/>
      <c r="M29" s="114"/>
      <c r="N29" s="114"/>
      <c r="O29" s="114"/>
      <c r="P29" s="114"/>
      <c r="Q29" s="114"/>
      <c r="R29" s="114"/>
      <c r="S29" s="114"/>
      <c r="T29" s="114"/>
      <c r="U29" s="114"/>
      <c r="V29" s="114"/>
      <c r="W29" s="114"/>
      <c r="X29" s="114"/>
      <c r="Y29" s="114"/>
      <c r="Z29" s="114"/>
      <c r="AA29" s="114"/>
      <c r="AB29" s="114"/>
      <c r="AC29" s="114"/>
      <c r="AD29" s="114"/>
      <c r="AE29" s="114"/>
      <c r="AF29" s="114"/>
    </row>
    <row r="30" spans="1:32" s="53" customFormat="1" ht="21" customHeight="1" x14ac:dyDescent="0.2">
      <c r="A30" s="53" t="s">
        <v>131</v>
      </c>
      <c r="B30" s="53" t="s">
        <v>132</v>
      </c>
      <c r="C30" s="197" t="s">
        <v>98</v>
      </c>
      <c r="D30" s="54"/>
      <c r="E30" s="54"/>
      <c r="F30" s="54"/>
      <c r="G30" s="54"/>
      <c r="H30" s="54">
        <v>4</v>
      </c>
      <c r="I30" s="54">
        <v>5</v>
      </c>
      <c r="J30" s="115"/>
      <c r="K30" s="115"/>
      <c r="L30" s="115"/>
      <c r="M30" s="115"/>
      <c r="N30" s="115"/>
      <c r="O30" s="115"/>
      <c r="P30" s="115"/>
      <c r="Q30" s="115"/>
      <c r="R30" s="115"/>
      <c r="S30" s="115"/>
      <c r="T30" s="115"/>
      <c r="U30" s="115"/>
      <c r="V30" s="115"/>
      <c r="W30" s="115"/>
      <c r="X30" s="115"/>
      <c r="Y30" s="115"/>
      <c r="Z30" s="115"/>
      <c r="AA30" s="115"/>
      <c r="AB30" s="115"/>
      <c r="AC30" s="115"/>
      <c r="AD30" s="115"/>
      <c r="AE30" s="115"/>
      <c r="AF30" s="115"/>
    </row>
    <row r="31" spans="1:32" s="32" customFormat="1" ht="21" customHeight="1" x14ac:dyDescent="0.2">
      <c r="A31" s="32" t="s">
        <v>133</v>
      </c>
      <c r="B31" s="32" t="s">
        <v>134</v>
      </c>
      <c r="C31" s="197" t="s">
        <v>98</v>
      </c>
      <c r="D31" s="54"/>
      <c r="E31" s="54"/>
      <c r="F31" s="54"/>
      <c r="G31" s="54"/>
      <c r="H31" s="54">
        <v>4</v>
      </c>
      <c r="I31" s="54">
        <v>5</v>
      </c>
      <c r="J31" s="114"/>
      <c r="K31" s="114"/>
      <c r="L31" s="114"/>
      <c r="M31" s="114"/>
      <c r="N31" s="114"/>
      <c r="O31" s="114"/>
      <c r="P31" s="114"/>
      <c r="Q31" s="114"/>
      <c r="R31" s="114"/>
      <c r="S31" s="114"/>
      <c r="T31" s="114"/>
      <c r="U31" s="114"/>
      <c r="V31" s="114"/>
      <c r="W31" s="114"/>
      <c r="X31" s="114"/>
      <c r="Y31" s="114"/>
      <c r="Z31" s="114"/>
      <c r="AA31" s="114"/>
      <c r="AB31" s="114"/>
      <c r="AC31" s="114"/>
      <c r="AD31" s="114"/>
      <c r="AE31" s="114"/>
      <c r="AF31" s="114"/>
    </row>
    <row r="32" spans="1:32" s="53" customFormat="1" ht="21" customHeight="1" x14ac:dyDescent="0.2">
      <c r="A32" s="53" t="s">
        <v>135</v>
      </c>
      <c r="B32" s="53" t="s">
        <v>136</v>
      </c>
      <c r="C32" s="197" t="s">
        <v>98</v>
      </c>
      <c r="D32" s="54"/>
      <c r="E32" s="54"/>
      <c r="F32" s="54"/>
      <c r="G32" s="54"/>
      <c r="H32" s="54">
        <v>4</v>
      </c>
      <c r="I32" s="54">
        <v>5</v>
      </c>
      <c r="J32" s="115"/>
      <c r="K32" s="115"/>
      <c r="L32" s="115"/>
      <c r="M32" s="115"/>
      <c r="N32" s="115"/>
      <c r="O32" s="115"/>
      <c r="P32" s="115"/>
      <c r="Q32" s="115"/>
      <c r="R32" s="115"/>
      <c r="S32" s="115"/>
      <c r="T32" s="115"/>
      <c r="U32" s="115"/>
      <c r="V32" s="115"/>
      <c r="W32" s="115"/>
      <c r="X32" s="115"/>
      <c r="Y32" s="115"/>
      <c r="Z32" s="115"/>
      <c r="AA32" s="115"/>
      <c r="AB32" s="115"/>
      <c r="AC32" s="115"/>
      <c r="AD32" s="115"/>
      <c r="AE32" s="115"/>
      <c r="AF32" s="115"/>
    </row>
    <row r="33" spans="1:32" s="32" customFormat="1" ht="21" customHeight="1" x14ac:dyDescent="0.2">
      <c r="A33" s="32" t="s">
        <v>137</v>
      </c>
      <c r="B33" s="32" t="s">
        <v>138</v>
      </c>
      <c r="C33" s="197" t="s">
        <v>79</v>
      </c>
      <c r="D33" s="54"/>
      <c r="E33" s="54"/>
      <c r="F33" s="54"/>
      <c r="G33" s="54"/>
      <c r="H33" s="54">
        <v>4</v>
      </c>
      <c r="I33" s="54">
        <v>5</v>
      </c>
      <c r="J33" s="114"/>
      <c r="K33" s="114"/>
      <c r="L33" s="114"/>
      <c r="M33" s="114"/>
      <c r="N33" s="114"/>
      <c r="O33" s="114"/>
      <c r="P33" s="114"/>
      <c r="Q33" s="114"/>
      <c r="R33" s="114"/>
      <c r="S33" s="114"/>
      <c r="T33" s="114"/>
      <c r="U33" s="114"/>
      <c r="V33" s="114"/>
      <c r="W33" s="114"/>
      <c r="X33" s="114"/>
      <c r="Y33" s="114"/>
      <c r="Z33" s="114"/>
      <c r="AA33" s="114"/>
      <c r="AB33" s="114"/>
      <c r="AC33" s="114"/>
      <c r="AD33" s="114"/>
      <c r="AE33" s="114"/>
      <c r="AF33" s="114"/>
    </row>
    <row r="34" spans="1:32" s="53" customFormat="1" ht="21" customHeight="1" x14ac:dyDescent="0.2">
      <c r="A34" s="53" t="s">
        <v>139</v>
      </c>
      <c r="B34" s="53" t="s">
        <v>140</v>
      </c>
      <c r="C34" s="197" t="s">
        <v>98</v>
      </c>
      <c r="D34" s="54"/>
      <c r="E34" s="54"/>
      <c r="F34" s="54"/>
      <c r="G34" s="54"/>
      <c r="H34" s="54">
        <v>4</v>
      </c>
      <c r="I34" s="54">
        <v>5</v>
      </c>
      <c r="J34" s="115"/>
      <c r="K34" s="115"/>
      <c r="L34" s="115"/>
      <c r="M34" s="115"/>
      <c r="N34" s="115"/>
      <c r="O34" s="115"/>
      <c r="P34" s="115"/>
      <c r="Q34" s="115"/>
      <c r="R34" s="115"/>
      <c r="S34" s="115"/>
      <c r="T34" s="115"/>
      <c r="U34" s="115"/>
      <c r="V34" s="115"/>
      <c r="W34" s="115"/>
      <c r="X34" s="115"/>
      <c r="Y34" s="115"/>
      <c r="Z34" s="115"/>
      <c r="AA34" s="115"/>
      <c r="AB34" s="115"/>
      <c r="AC34" s="115"/>
      <c r="AD34" s="115"/>
      <c r="AE34" s="115"/>
      <c r="AF34" s="115"/>
    </row>
    <row r="35" spans="1:32" s="32" customFormat="1" ht="21" customHeight="1" x14ac:dyDescent="0.2">
      <c r="A35" s="32" t="s">
        <v>141</v>
      </c>
      <c r="B35" s="32" t="s">
        <v>142</v>
      </c>
      <c r="C35" s="197"/>
      <c r="D35" s="54"/>
      <c r="E35" s="54"/>
      <c r="F35" s="54"/>
      <c r="G35" s="54"/>
      <c r="H35" s="54">
        <v>4</v>
      </c>
      <c r="I35" s="54">
        <v>5</v>
      </c>
      <c r="J35" s="114"/>
      <c r="K35" s="114"/>
      <c r="L35" s="114"/>
      <c r="M35" s="114"/>
      <c r="N35" s="114"/>
      <c r="O35" s="114"/>
      <c r="P35" s="114"/>
      <c r="Q35" s="114"/>
      <c r="R35" s="114"/>
      <c r="S35" s="114"/>
      <c r="T35" s="114"/>
      <c r="U35" s="114"/>
      <c r="V35" s="114"/>
      <c r="W35" s="114"/>
      <c r="X35" s="114"/>
      <c r="Y35" s="114"/>
      <c r="Z35" s="114"/>
      <c r="AA35" s="114"/>
      <c r="AB35" s="114"/>
      <c r="AC35" s="114"/>
      <c r="AD35" s="114"/>
      <c r="AE35" s="114"/>
      <c r="AF35" s="114"/>
    </row>
    <row r="36" spans="1:32" s="53" customFormat="1" ht="21" customHeight="1" x14ac:dyDescent="0.2">
      <c r="A36" s="53" t="s">
        <v>143</v>
      </c>
      <c r="B36" s="208" t="s">
        <v>144</v>
      </c>
      <c r="C36" s="197"/>
      <c r="D36" s="54"/>
      <c r="E36" s="54"/>
      <c r="F36" s="54"/>
      <c r="G36" s="54"/>
      <c r="H36" s="54">
        <v>4</v>
      </c>
      <c r="I36" s="54">
        <v>5</v>
      </c>
      <c r="J36" s="115"/>
      <c r="K36" s="115"/>
      <c r="L36" s="115"/>
      <c r="M36" s="115"/>
      <c r="N36" s="115"/>
      <c r="O36" s="115"/>
      <c r="P36" s="115"/>
      <c r="Q36" s="115"/>
      <c r="R36" s="115"/>
      <c r="S36" s="115"/>
      <c r="T36" s="115"/>
      <c r="U36" s="115"/>
      <c r="V36" s="115"/>
      <c r="W36" s="115"/>
      <c r="X36" s="115"/>
      <c r="Y36" s="115"/>
      <c r="Z36" s="115"/>
      <c r="AA36" s="115"/>
      <c r="AB36" s="115"/>
      <c r="AC36" s="115"/>
      <c r="AD36" s="115"/>
      <c r="AE36" s="115"/>
      <c r="AF36" s="115"/>
    </row>
    <row r="37" spans="1:32" s="32" customFormat="1" ht="21" customHeight="1" x14ac:dyDescent="0.2">
      <c r="A37" s="32" t="s">
        <v>145</v>
      </c>
      <c r="B37" s="32" t="s">
        <v>146</v>
      </c>
      <c r="C37" s="197"/>
      <c r="D37" s="54"/>
      <c r="E37" s="54"/>
      <c r="F37" s="54"/>
      <c r="G37" s="54"/>
      <c r="H37" s="54">
        <v>4</v>
      </c>
      <c r="I37" s="54">
        <v>5</v>
      </c>
      <c r="J37" s="114"/>
      <c r="K37" s="114"/>
      <c r="L37" s="114"/>
      <c r="M37" s="114"/>
      <c r="N37" s="114"/>
      <c r="O37" s="114"/>
      <c r="P37" s="114"/>
      <c r="Q37" s="114"/>
      <c r="R37" s="114"/>
      <c r="S37" s="114"/>
      <c r="T37" s="114"/>
      <c r="U37" s="114"/>
      <c r="V37" s="114"/>
      <c r="W37" s="114"/>
      <c r="X37" s="114"/>
      <c r="Y37" s="114"/>
      <c r="Z37" s="114"/>
      <c r="AA37" s="114"/>
      <c r="AB37" s="114"/>
      <c r="AC37" s="114"/>
      <c r="AD37" s="114"/>
      <c r="AE37" s="114"/>
      <c r="AF37" s="114"/>
    </row>
    <row r="38" spans="1:32" s="66" customFormat="1" ht="21" customHeight="1" x14ac:dyDescent="0.2">
      <c r="A38" s="65" t="s">
        <v>147</v>
      </c>
      <c r="B38" s="65"/>
    </row>
    <row r="39" spans="1:32" s="44" customFormat="1" ht="21" customHeight="1" x14ac:dyDescent="0.2">
      <c r="B39" s="44" t="s">
        <v>148</v>
      </c>
      <c r="C39" s="197"/>
      <c r="D39" s="54"/>
      <c r="E39" s="54"/>
      <c r="F39" s="54"/>
      <c r="G39" s="54"/>
      <c r="H39" s="54"/>
      <c r="I39" s="120"/>
      <c r="J39" s="113"/>
      <c r="K39" s="113"/>
      <c r="L39" s="113"/>
      <c r="M39" s="113"/>
      <c r="N39" s="113"/>
      <c r="O39" s="113"/>
      <c r="P39" s="113"/>
      <c r="Q39" s="113"/>
      <c r="R39" s="113"/>
      <c r="S39" s="113"/>
      <c r="T39" s="113"/>
      <c r="U39" s="113"/>
      <c r="V39" s="113"/>
      <c r="W39" s="113"/>
      <c r="X39" s="113"/>
      <c r="Y39" s="113"/>
      <c r="Z39" s="113"/>
      <c r="AA39" s="113"/>
      <c r="AB39" s="113"/>
      <c r="AC39" s="113"/>
      <c r="AD39" s="113"/>
      <c r="AE39" s="113"/>
      <c r="AF39" s="113"/>
    </row>
    <row r="40" spans="1:32" s="32" customFormat="1" ht="21" customHeight="1" x14ac:dyDescent="0.2">
      <c r="A40" s="32" t="s">
        <v>149</v>
      </c>
      <c r="B40" s="32" t="s">
        <v>150</v>
      </c>
      <c r="C40" s="197" t="s">
        <v>373</v>
      </c>
      <c r="D40" s="54"/>
      <c r="E40" s="54"/>
      <c r="F40" s="54"/>
      <c r="G40" s="54"/>
      <c r="H40" s="54">
        <v>4</v>
      </c>
      <c r="I40" s="54">
        <v>5</v>
      </c>
      <c r="J40" s="114"/>
      <c r="K40" s="114"/>
      <c r="L40" s="114"/>
      <c r="M40" s="114"/>
      <c r="N40" s="114"/>
      <c r="O40" s="114"/>
      <c r="P40" s="114"/>
      <c r="Q40" s="114"/>
      <c r="R40" s="114"/>
      <c r="S40" s="114"/>
      <c r="T40" s="114"/>
      <c r="U40" s="114"/>
      <c r="V40" s="114"/>
      <c r="W40" s="114"/>
      <c r="X40" s="114"/>
      <c r="Y40" s="114"/>
      <c r="Z40" s="114"/>
      <c r="AA40" s="114"/>
      <c r="AB40" s="114"/>
      <c r="AC40" s="114"/>
      <c r="AD40" s="114"/>
      <c r="AE40" s="114"/>
      <c r="AF40" s="114"/>
    </row>
    <row r="41" spans="1:32" s="53" customFormat="1" ht="21" customHeight="1" x14ac:dyDescent="0.2">
      <c r="A41" s="53" t="s">
        <v>151</v>
      </c>
      <c r="B41" s="53" t="s">
        <v>152</v>
      </c>
      <c r="C41" s="197" t="s">
        <v>79</v>
      </c>
      <c r="D41" s="54"/>
      <c r="E41" s="54"/>
      <c r="F41" s="54"/>
      <c r="G41" s="54"/>
      <c r="H41" s="54">
        <v>4</v>
      </c>
      <c r="I41" s="54">
        <v>5</v>
      </c>
      <c r="J41" s="115"/>
      <c r="K41" s="115"/>
      <c r="L41" s="115"/>
      <c r="M41" s="115"/>
      <c r="N41" s="115"/>
      <c r="O41" s="115"/>
      <c r="P41" s="115"/>
      <c r="Q41" s="115"/>
      <c r="R41" s="115"/>
      <c r="S41" s="115"/>
      <c r="T41" s="115"/>
      <c r="U41" s="115"/>
      <c r="V41" s="115"/>
      <c r="W41" s="115"/>
      <c r="X41" s="115"/>
      <c r="Y41" s="115"/>
      <c r="Z41" s="115"/>
      <c r="AA41" s="115"/>
      <c r="AB41" s="115"/>
      <c r="AC41" s="115"/>
      <c r="AD41" s="115"/>
      <c r="AE41" s="115"/>
      <c r="AF41" s="115"/>
    </row>
    <row r="42" spans="1:32" s="32" customFormat="1" ht="21" customHeight="1" x14ac:dyDescent="0.2">
      <c r="A42" s="32" t="s">
        <v>153</v>
      </c>
      <c r="B42" s="32" t="s">
        <v>154</v>
      </c>
      <c r="C42" s="197" t="s">
        <v>370</v>
      </c>
      <c r="D42" s="54"/>
      <c r="E42" s="54"/>
      <c r="F42" s="54"/>
      <c r="G42" s="54"/>
      <c r="H42" s="54">
        <v>4</v>
      </c>
      <c r="I42" s="54">
        <v>5</v>
      </c>
      <c r="J42" s="114"/>
      <c r="K42" s="114"/>
      <c r="L42" s="114"/>
      <c r="M42" s="114"/>
      <c r="N42" s="114"/>
      <c r="O42" s="114"/>
      <c r="P42" s="114"/>
      <c r="Q42" s="114"/>
      <c r="R42" s="114"/>
      <c r="S42" s="114"/>
      <c r="T42" s="114"/>
      <c r="U42" s="114"/>
      <c r="V42" s="114"/>
      <c r="W42" s="114"/>
      <c r="X42" s="114"/>
      <c r="Y42" s="114"/>
      <c r="Z42" s="114"/>
      <c r="AA42" s="114"/>
      <c r="AB42" s="114"/>
      <c r="AC42" s="114"/>
      <c r="AD42" s="114"/>
      <c r="AE42" s="114"/>
      <c r="AF42" s="114"/>
    </row>
    <row r="43" spans="1:32" s="53" customFormat="1" ht="21" customHeight="1" x14ac:dyDescent="0.2">
      <c r="A43" s="53" t="s">
        <v>155</v>
      </c>
      <c r="B43" s="53" t="s">
        <v>156</v>
      </c>
      <c r="C43" s="197" t="s">
        <v>373</v>
      </c>
      <c r="D43" s="54"/>
      <c r="E43" s="54"/>
      <c r="F43" s="54"/>
      <c r="G43" s="54"/>
      <c r="H43" s="54">
        <v>4</v>
      </c>
      <c r="I43" s="54">
        <v>5</v>
      </c>
      <c r="J43" s="115"/>
      <c r="K43" s="115"/>
      <c r="L43" s="115"/>
      <c r="M43" s="115"/>
      <c r="N43" s="115"/>
      <c r="O43" s="115"/>
      <c r="P43" s="115"/>
      <c r="Q43" s="115"/>
      <c r="R43" s="115"/>
      <c r="S43" s="115"/>
      <c r="T43" s="115"/>
      <c r="U43" s="115"/>
      <c r="V43" s="115"/>
      <c r="W43" s="115"/>
      <c r="X43" s="115"/>
      <c r="Y43" s="115"/>
      <c r="Z43" s="115"/>
      <c r="AA43" s="115"/>
      <c r="AB43" s="115"/>
      <c r="AC43" s="115"/>
      <c r="AD43" s="115"/>
      <c r="AE43" s="115"/>
      <c r="AF43" s="115"/>
    </row>
    <row r="44" spans="1:32" s="32" customFormat="1" ht="21" customHeight="1" x14ac:dyDescent="0.2">
      <c r="A44" s="32" t="s">
        <v>157</v>
      </c>
      <c r="B44" s="32" t="s">
        <v>158</v>
      </c>
      <c r="C44" s="197" t="s">
        <v>98</v>
      </c>
      <c r="D44" s="54"/>
      <c r="E44" s="54"/>
      <c r="F44" s="54"/>
      <c r="G44" s="54"/>
      <c r="H44" s="54">
        <v>4</v>
      </c>
      <c r="I44" s="54">
        <v>5</v>
      </c>
      <c r="J44" s="114"/>
      <c r="K44" s="114"/>
      <c r="L44" s="114"/>
      <c r="M44" s="114"/>
      <c r="N44" s="114"/>
      <c r="O44" s="114"/>
      <c r="P44" s="114"/>
      <c r="Q44" s="114"/>
      <c r="R44" s="114"/>
      <c r="S44" s="114"/>
      <c r="T44" s="114"/>
      <c r="U44" s="114"/>
      <c r="V44" s="114"/>
      <c r="W44" s="114"/>
      <c r="X44" s="114"/>
      <c r="Y44" s="114"/>
      <c r="Z44" s="114"/>
      <c r="AA44" s="114"/>
      <c r="AB44" s="114"/>
      <c r="AC44" s="114"/>
      <c r="AD44" s="114"/>
      <c r="AE44" s="114"/>
      <c r="AF44" s="114"/>
    </row>
    <row r="45" spans="1:32" s="53" customFormat="1" ht="21" customHeight="1" x14ac:dyDescent="0.2">
      <c r="A45" s="53" t="s">
        <v>159</v>
      </c>
      <c r="B45" s="53" t="s">
        <v>160</v>
      </c>
      <c r="C45" s="197" t="s">
        <v>98</v>
      </c>
      <c r="D45" s="54"/>
      <c r="E45" s="54"/>
      <c r="F45" s="54"/>
      <c r="G45" s="54"/>
      <c r="H45" s="54">
        <v>4</v>
      </c>
      <c r="I45" s="54">
        <v>5</v>
      </c>
      <c r="J45" s="115"/>
      <c r="K45" s="115"/>
      <c r="L45" s="115"/>
      <c r="M45" s="115"/>
      <c r="N45" s="115"/>
      <c r="O45" s="115"/>
      <c r="P45" s="115"/>
      <c r="Q45" s="115"/>
      <c r="R45" s="115"/>
      <c r="S45" s="115"/>
      <c r="T45" s="115"/>
      <c r="U45" s="115"/>
      <c r="V45" s="115"/>
      <c r="W45" s="115"/>
      <c r="X45" s="115"/>
      <c r="Y45" s="115"/>
      <c r="Z45" s="115"/>
      <c r="AA45" s="115"/>
      <c r="AB45" s="115"/>
      <c r="AC45" s="115"/>
      <c r="AD45" s="115"/>
      <c r="AE45" s="115"/>
      <c r="AF45" s="115"/>
    </row>
    <row r="46" spans="1:32" s="32" customFormat="1" ht="21" customHeight="1" x14ac:dyDescent="0.2">
      <c r="A46" s="32" t="s">
        <v>161</v>
      </c>
      <c r="B46" s="32" t="s">
        <v>162</v>
      </c>
      <c r="C46" s="197" t="s">
        <v>98</v>
      </c>
      <c r="D46" s="54"/>
      <c r="E46" s="54"/>
      <c r="F46" s="54"/>
      <c r="G46" s="54"/>
      <c r="H46" s="54">
        <v>4</v>
      </c>
      <c r="I46" s="54">
        <v>5</v>
      </c>
      <c r="J46" s="114"/>
      <c r="K46" s="114"/>
      <c r="L46" s="114"/>
      <c r="M46" s="114"/>
      <c r="N46" s="114"/>
      <c r="O46" s="114"/>
      <c r="P46" s="114"/>
      <c r="Q46" s="114"/>
      <c r="R46" s="114"/>
      <c r="S46" s="114"/>
      <c r="T46" s="114"/>
      <c r="U46" s="114"/>
      <c r="V46" s="114"/>
      <c r="W46" s="114"/>
      <c r="X46" s="114"/>
      <c r="Y46" s="114"/>
      <c r="Z46" s="114"/>
      <c r="AA46" s="114"/>
      <c r="AB46" s="114"/>
      <c r="AC46" s="114"/>
      <c r="AD46" s="114"/>
      <c r="AE46" s="114"/>
      <c r="AF46" s="114"/>
    </row>
    <row r="47" spans="1:32" s="53" customFormat="1" ht="21" customHeight="1" x14ac:dyDescent="0.2">
      <c r="A47" s="53" t="s">
        <v>163</v>
      </c>
      <c r="B47" s="53" t="s">
        <v>164</v>
      </c>
      <c r="C47" s="197" t="s">
        <v>98</v>
      </c>
      <c r="D47" s="54"/>
      <c r="E47" s="54"/>
      <c r="F47" s="54"/>
      <c r="G47" s="54"/>
      <c r="H47" s="54">
        <v>4</v>
      </c>
      <c r="I47" s="54">
        <v>5</v>
      </c>
      <c r="J47" s="115"/>
      <c r="K47" s="115"/>
      <c r="L47" s="115"/>
      <c r="M47" s="115"/>
      <c r="N47" s="115"/>
      <c r="O47" s="115"/>
      <c r="P47" s="115"/>
      <c r="Q47" s="115"/>
      <c r="R47" s="115"/>
      <c r="S47" s="115"/>
      <c r="T47" s="115"/>
      <c r="U47" s="115"/>
      <c r="V47" s="115"/>
      <c r="W47" s="115"/>
      <c r="X47" s="115"/>
      <c r="Y47" s="115"/>
      <c r="Z47" s="115"/>
      <c r="AA47" s="115"/>
      <c r="AB47" s="115"/>
      <c r="AC47" s="115"/>
      <c r="AD47" s="115"/>
      <c r="AE47" s="115"/>
      <c r="AF47" s="115"/>
    </row>
    <row r="48" spans="1:32" s="72" customFormat="1" ht="12" hidden="1" x14ac:dyDescent="0.2">
      <c r="A48" s="175"/>
      <c r="B48" s="176"/>
      <c r="J48" s="33"/>
      <c r="K48" s="33"/>
    </row>
    <row r="49" spans="1:11" s="72" customFormat="1" ht="12" hidden="1" x14ac:dyDescent="0.2">
      <c r="A49" s="175"/>
      <c r="B49" s="176"/>
      <c r="J49" s="33"/>
      <c r="K49" s="33"/>
    </row>
    <row r="50" spans="1:11" s="7" customFormat="1" ht="15" hidden="1" customHeight="1" x14ac:dyDescent="0.2">
      <c r="A50" s="177"/>
      <c r="B50" s="177" t="s">
        <v>165</v>
      </c>
      <c r="C50" s="7" t="e">
        <f>#REF!</f>
        <v>#REF!</v>
      </c>
      <c r="D50" s="7" t="e">
        <f t="shared" ref="D50" si="0">#REF!</f>
        <v>#REF!</v>
      </c>
      <c r="E50" s="7" t="e">
        <f t="shared" ref="E50" si="1">#REF!</f>
        <v>#REF!</v>
      </c>
      <c r="F50" s="7" t="e">
        <f t="shared" ref="F50" si="2">#REF!</f>
        <v>#REF!</v>
      </c>
      <c r="G50" s="7" t="e">
        <f t="shared" ref="G50" si="3">#REF!</f>
        <v>#REF!</v>
      </c>
      <c r="H50" s="7" t="e">
        <f t="shared" ref="H50" si="4">#REF!</f>
        <v>#REF!</v>
      </c>
      <c r="I50" s="7" t="e">
        <f t="shared" ref="I50" si="5">#REF!</f>
        <v>#REF!</v>
      </c>
      <c r="J50" s="17"/>
      <c r="K50" s="16"/>
    </row>
    <row r="51" spans="1:11" s="6" customFormat="1" ht="15" hidden="1" customHeight="1" x14ac:dyDescent="0.2">
      <c r="A51"/>
      <c r="B51" s="32" t="str">
        <f>A4</f>
        <v>1.1 - Mission</v>
      </c>
      <c r="C51" s="20">
        <f t="shared" ref="C51:I51" si="6">SUM(C5:C8)</f>
        <v>0</v>
      </c>
      <c r="D51" s="20">
        <f t="shared" si="6"/>
        <v>0</v>
      </c>
      <c r="E51" s="20">
        <f t="shared" si="6"/>
        <v>0</v>
      </c>
      <c r="F51" s="20">
        <f t="shared" si="6"/>
        <v>0</v>
      </c>
      <c r="G51" s="20">
        <f t="shared" si="6"/>
        <v>0</v>
      </c>
      <c r="H51" s="20">
        <f t="shared" si="6"/>
        <v>16</v>
      </c>
      <c r="I51" s="20">
        <f t="shared" si="6"/>
        <v>20</v>
      </c>
      <c r="J51" s="18"/>
      <c r="K51" s="15"/>
    </row>
    <row r="52" spans="1:11" s="6" customFormat="1" ht="15" hidden="1" customHeight="1" x14ac:dyDescent="0.2">
      <c r="A52"/>
      <c r="B52" s="32" t="str">
        <f>A12</f>
        <v>1.2 - Service Catalogue</v>
      </c>
      <c r="C52" s="20">
        <f t="shared" ref="C52:I52" si="7">SUM(C13:C20)</f>
        <v>0</v>
      </c>
      <c r="D52" s="20">
        <f t="shared" si="7"/>
        <v>0</v>
      </c>
      <c r="E52" s="20">
        <f t="shared" si="7"/>
        <v>0</v>
      </c>
      <c r="F52" s="20">
        <f t="shared" si="7"/>
        <v>0</v>
      </c>
      <c r="G52" s="20">
        <f t="shared" si="7"/>
        <v>0</v>
      </c>
      <c r="H52" s="20">
        <f t="shared" si="7"/>
        <v>32</v>
      </c>
      <c r="I52" s="20">
        <f t="shared" si="7"/>
        <v>40</v>
      </c>
      <c r="J52" s="18"/>
      <c r="K52" s="15"/>
    </row>
    <row r="53" spans="1:11" s="6" customFormat="1" ht="15" hidden="1" customHeight="1" x14ac:dyDescent="0.2">
      <c r="A53"/>
      <c r="B53" s="32" t="str">
        <f>A21</f>
        <v>1.3 - Governance</v>
      </c>
      <c r="C53" s="20">
        <f t="shared" ref="C53:I53" si="8">SUM(C22:C28)</f>
        <v>0</v>
      </c>
      <c r="D53" s="20">
        <f t="shared" si="8"/>
        <v>0</v>
      </c>
      <c r="E53" s="20">
        <f t="shared" si="8"/>
        <v>0</v>
      </c>
      <c r="F53" s="20">
        <f t="shared" si="8"/>
        <v>0</v>
      </c>
      <c r="G53" s="20">
        <f t="shared" si="8"/>
        <v>0</v>
      </c>
      <c r="H53" s="20">
        <f t="shared" si="8"/>
        <v>8</v>
      </c>
      <c r="I53" s="20">
        <f t="shared" si="8"/>
        <v>10</v>
      </c>
      <c r="J53" s="18"/>
      <c r="K53" s="15"/>
    </row>
    <row r="54" spans="1:11" s="6" customFormat="1" ht="15" hidden="1" customHeight="1" x14ac:dyDescent="0.2">
      <c r="A54"/>
      <c r="B54" s="32" t="str">
        <f>A28</f>
        <v>1.4 - Repeatability</v>
      </c>
      <c r="C54" s="20">
        <f t="shared" ref="C54:I54" si="9">SUM(C29:C37)</f>
        <v>0</v>
      </c>
      <c r="D54" s="20">
        <f t="shared" si="9"/>
        <v>0</v>
      </c>
      <c r="E54" s="20">
        <f t="shared" si="9"/>
        <v>0</v>
      </c>
      <c r="F54" s="20">
        <f t="shared" si="9"/>
        <v>0</v>
      </c>
      <c r="G54" s="20">
        <f t="shared" si="9"/>
        <v>0</v>
      </c>
      <c r="H54" s="20">
        <f t="shared" si="9"/>
        <v>36</v>
      </c>
      <c r="I54" s="20">
        <f t="shared" si="9"/>
        <v>45</v>
      </c>
      <c r="J54" s="18"/>
      <c r="K54" s="15"/>
    </row>
    <row r="55" spans="1:11" s="6" customFormat="1" ht="15" hidden="1" customHeight="1" thickBot="1" x14ac:dyDescent="0.25">
      <c r="A55"/>
      <c r="B55" s="32" t="str">
        <f>A38</f>
        <v>1.5 - Intra-organization interfaces</v>
      </c>
      <c r="C55" s="20">
        <f>SUM(C40:C47)</f>
        <v>0</v>
      </c>
      <c r="D55" s="20">
        <f t="shared" ref="D55:I55" si="10">SUM(D40:D47)</f>
        <v>0</v>
      </c>
      <c r="E55" s="20">
        <f t="shared" si="10"/>
        <v>0</v>
      </c>
      <c r="F55" s="20">
        <f t="shared" si="10"/>
        <v>0</v>
      </c>
      <c r="G55" s="20">
        <f t="shared" si="10"/>
        <v>0</v>
      </c>
      <c r="H55" s="20">
        <f t="shared" si="10"/>
        <v>32</v>
      </c>
      <c r="I55" s="20">
        <f t="shared" si="10"/>
        <v>40</v>
      </c>
      <c r="J55" s="18"/>
      <c r="K55" s="15"/>
    </row>
    <row r="56" spans="1:11" s="45" customFormat="1" ht="15" hidden="1" customHeight="1" thickBot="1" x14ac:dyDescent="0.25">
      <c r="A56" s="178"/>
      <c r="B56" s="179" t="s">
        <v>166</v>
      </c>
      <c r="C56" s="47">
        <f>SUM(C51:C55)</f>
        <v>0</v>
      </c>
      <c r="D56" s="47">
        <f t="shared" ref="D56:I56" si="11">SUM(D51:D55)</f>
        <v>0</v>
      </c>
      <c r="E56" s="47">
        <f t="shared" si="11"/>
        <v>0</v>
      </c>
      <c r="F56" s="47">
        <f t="shared" si="11"/>
        <v>0</v>
      </c>
      <c r="G56" s="47">
        <f t="shared" si="11"/>
        <v>0</v>
      </c>
      <c r="H56" s="47">
        <f t="shared" si="11"/>
        <v>124</v>
      </c>
      <c r="I56" s="47">
        <f t="shared" si="11"/>
        <v>155</v>
      </c>
      <c r="J56" s="48"/>
      <c r="K56" s="49"/>
    </row>
    <row r="57" spans="1:11" s="6" customFormat="1" hidden="1" x14ac:dyDescent="0.2">
      <c r="A57"/>
      <c r="B57" s="180"/>
      <c r="J57" s="18"/>
      <c r="K57" s="15"/>
    </row>
    <row r="58" spans="1:11" s="6" customFormat="1" hidden="1" x14ac:dyDescent="0.2">
      <c r="A58"/>
      <c r="B58" s="180"/>
      <c r="J58" s="18"/>
      <c r="K58" s="15"/>
    </row>
    <row r="59" spans="1:11" s="7" customFormat="1" ht="15" hidden="1" customHeight="1" x14ac:dyDescent="0.2">
      <c r="A59" s="177"/>
      <c r="B59" s="177" t="s">
        <v>167</v>
      </c>
      <c r="C59" s="7" t="e">
        <f t="shared" ref="C59:H59" si="12">C50</f>
        <v>#REF!</v>
      </c>
      <c r="D59" s="7" t="e">
        <f t="shared" si="12"/>
        <v>#REF!</v>
      </c>
      <c r="E59" s="7" t="e">
        <f t="shared" si="12"/>
        <v>#REF!</v>
      </c>
      <c r="F59" s="7" t="e">
        <f t="shared" si="12"/>
        <v>#REF!</v>
      </c>
      <c r="G59" s="7" t="e">
        <f t="shared" si="12"/>
        <v>#REF!</v>
      </c>
      <c r="H59" s="7" t="e">
        <f t="shared" si="12"/>
        <v>#REF!</v>
      </c>
      <c r="J59" s="17"/>
      <c r="K59" s="16"/>
    </row>
    <row r="60" spans="1:11" s="6" customFormat="1" ht="15" hidden="1" customHeight="1" x14ac:dyDescent="0.2">
      <c r="A60"/>
      <c r="B60" s="32" t="str">
        <f>B51</f>
        <v>1.1 - Mission</v>
      </c>
      <c r="C60" s="21">
        <f>C51/$I51</f>
        <v>0</v>
      </c>
      <c r="D60" s="21">
        <f t="shared" ref="D60:H60" si="13">D51/$I51</f>
        <v>0</v>
      </c>
      <c r="E60" s="21">
        <f t="shared" si="13"/>
        <v>0</v>
      </c>
      <c r="F60" s="21">
        <f t="shared" si="13"/>
        <v>0</v>
      </c>
      <c r="G60" s="21">
        <f t="shared" si="13"/>
        <v>0</v>
      </c>
      <c r="H60" s="21">
        <f t="shared" si="13"/>
        <v>0.8</v>
      </c>
      <c r="I60" s="14"/>
      <c r="J60" s="18"/>
      <c r="K60" s="15"/>
    </row>
    <row r="61" spans="1:11" s="6" customFormat="1" ht="15" hidden="1" customHeight="1" x14ac:dyDescent="0.2">
      <c r="A61"/>
      <c r="B61" s="32" t="str">
        <f>B52</f>
        <v>1.2 - Service Catalogue</v>
      </c>
      <c r="C61" s="21">
        <f t="shared" ref="C61:H61" si="14">C52/$I52</f>
        <v>0</v>
      </c>
      <c r="D61" s="21">
        <f t="shared" si="14"/>
        <v>0</v>
      </c>
      <c r="E61" s="21">
        <f t="shared" si="14"/>
        <v>0</v>
      </c>
      <c r="F61" s="21">
        <f t="shared" si="14"/>
        <v>0</v>
      </c>
      <c r="G61" s="21">
        <f t="shared" si="14"/>
        <v>0</v>
      </c>
      <c r="H61" s="21">
        <f t="shared" si="14"/>
        <v>0.8</v>
      </c>
      <c r="I61" s="14"/>
      <c r="J61" s="18"/>
      <c r="K61" s="15"/>
    </row>
    <row r="62" spans="1:11" s="6" customFormat="1" ht="15" hidden="1" customHeight="1" x14ac:dyDescent="0.2">
      <c r="A62"/>
      <c r="B62" s="32" t="str">
        <f>B53</f>
        <v>1.3 - Governance</v>
      </c>
      <c r="C62" s="21">
        <f t="shared" ref="C62:H62" si="15">C53/$I53</f>
        <v>0</v>
      </c>
      <c r="D62" s="21">
        <f t="shared" si="15"/>
        <v>0</v>
      </c>
      <c r="E62" s="21">
        <f t="shared" si="15"/>
        <v>0</v>
      </c>
      <c r="F62" s="21">
        <f t="shared" si="15"/>
        <v>0</v>
      </c>
      <c r="G62" s="21">
        <f t="shared" si="15"/>
        <v>0</v>
      </c>
      <c r="H62" s="21">
        <f t="shared" si="15"/>
        <v>0.8</v>
      </c>
      <c r="I62" s="14"/>
      <c r="J62" s="18"/>
      <c r="K62" s="15"/>
    </row>
    <row r="63" spans="1:11" s="6" customFormat="1" ht="15" hidden="1" customHeight="1" x14ac:dyDescent="0.2">
      <c r="A63"/>
      <c r="B63" s="32" t="str">
        <f>B54</f>
        <v>1.4 - Repeatability</v>
      </c>
      <c r="C63" s="21">
        <f t="shared" ref="C63:H63" si="16">C54/$I54</f>
        <v>0</v>
      </c>
      <c r="D63" s="21">
        <f t="shared" si="16"/>
        <v>0</v>
      </c>
      <c r="E63" s="21">
        <f t="shared" si="16"/>
        <v>0</v>
      </c>
      <c r="F63" s="21">
        <f t="shared" si="16"/>
        <v>0</v>
      </c>
      <c r="G63" s="21">
        <f t="shared" si="16"/>
        <v>0</v>
      </c>
      <c r="H63" s="21">
        <f t="shared" si="16"/>
        <v>0.8</v>
      </c>
      <c r="I63" s="14"/>
      <c r="J63" s="18"/>
      <c r="K63" s="15"/>
    </row>
    <row r="64" spans="1:11" s="6" customFormat="1" ht="15" hidden="1" customHeight="1" thickBot="1" x14ac:dyDescent="0.25">
      <c r="A64"/>
      <c r="B64" s="32" t="str">
        <f>B55</f>
        <v>1.5 - Intra-organization interfaces</v>
      </c>
      <c r="C64" s="21">
        <f t="shared" ref="C64:H65" si="17">C55/$I55</f>
        <v>0</v>
      </c>
      <c r="D64" s="21">
        <f t="shared" si="17"/>
        <v>0</v>
      </c>
      <c r="E64" s="21">
        <f t="shared" si="17"/>
        <v>0</v>
      </c>
      <c r="F64" s="21">
        <f t="shared" si="17"/>
        <v>0</v>
      </c>
      <c r="G64" s="21">
        <f t="shared" si="17"/>
        <v>0</v>
      </c>
      <c r="H64" s="21">
        <f t="shared" si="17"/>
        <v>0.8</v>
      </c>
      <c r="I64" s="14"/>
      <c r="J64" s="18"/>
      <c r="K64" s="15"/>
    </row>
    <row r="65" spans="1:11" s="45" customFormat="1" ht="15" hidden="1" customHeight="1" thickBot="1" x14ac:dyDescent="0.25">
      <c r="A65" s="178"/>
      <c r="B65" s="181" t="s">
        <v>166</v>
      </c>
      <c r="C65" s="21">
        <f t="shared" si="17"/>
        <v>0</v>
      </c>
      <c r="D65" s="21">
        <f t="shared" si="17"/>
        <v>0</v>
      </c>
      <c r="E65" s="21">
        <f t="shared" si="17"/>
        <v>0</v>
      </c>
      <c r="F65" s="21">
        <f t="shared" si="17"/>
        <v>0</v>
      </c>
      <c r="G65" s="21">
        <f t="shared" si="17"/>
        <v>0</v>
      </c>
      <c r="H65" s="21">
        <f t="shared" si="17"/>
        <v>0.8</v>
      </c>
      <c r="I65" s="52"/>
      <c r="J65" s="48"/>
      <c r="K65" s="49"/>
    </row>
    <row r="66" spans="1:11" s="66" customFormat="1" ht="21" customHeight="1" x14ac:dyDescent="0.2">
      <c r="A66" s="65" t="s">
        <v>168</v>
      </c>
      <c r="B66" s="65"/>
    </row>
    <row r="67" spans="1:11" s="72" customFormat="1" ht="17.25" customHeight="1" x14ac:dyDescent="0.2">
      <c r="A67" s="53" t="s">
        <v>169</v>
      </c>
      <c r="B67" s="215" t="s">
        <v>170</v>
      </c>
      <c r="C67" s="197"/>
      <c r="D67" s="54"/>
      <c r="E67" s="54"/>
      <c r="F67" s="54"/>
      <c r="G67" s="54"/>
      <c r="J67" s="33"/>
      <c r="K67" s="33"/>
    </row>
    <row r="68" spans="1:11" s="72" customFormat="1" ht="17.25" customHeight="1" x14ac:dyDescent="0.2">
      <c r="A68" s="53" t="s">
        <v>171</v>
      </c>
      <c r="B68" s="215" t="s">
        <v>172</v>
      </c>
      <c r="C68" s="197"/>
      <c r="D68" s="54"/>
      <c r="E68" s="54"/>
      <c r="F68" s="54"/>
      <c r="G68" s="54"/>
      <c r="J68" s="33"/>
      <c r="K68" s="33"/>
    </row>
    <row r="69" spans="1:11" s="72" customFormat="1" ht="17.25" customHeight="1" x14ac:dyDescent="0.2">
      <c r="A69" s="53" t="s">
        <v>173</v>
      </c>
      <c r="B69" s="32" t="s">
        <v>174</v>
      </c>
      <c r="C69" s="197" t="s">
        <v>98</v>
      </c>
      <c r="D69" s="54"/>
      <c r="E69" s="54"/>
      <c r="F69" s="54"/>
      <c r="G69" s="54"/>
      <c r="J69" s="33"/>
      <c r="K69" s="33"/>
    </row>
    <row r="70" spans="1:11" s="72" customFormat="1" ht="17.25" customHeight="1" x14ac:dyDescent="0.2">
      <c r="A70" s="53" t="s">
        <v>175</v>
      </c>
      <c r="B70" s="32" t="s">
        <v>176</v>
      </c>
      <c r="C70" s="197" t="s">
        <v>98</v>
      </c>
      <c r="D70" s="54"/>
      <c r="E70" s="54"/>
      <c r="F70" s="54"/>
      <c r="G70" s="54"/>
      <c r="J70" s="33"/>
      <c r="K70" s="33"/>
    </row>
    <row r="71" spans="1:11" s="72" customFormat="1" ht="17.25" customHeight="1" x14ac:dyDescent="0.2">
      <c r="A71" s="175"/>
      <c r="B71" s="32"/>
      <c r="C71" s="197"/>
      <c r="D71" s="54"/>
      <c r="E71" s="54"/>
      <c r="F71" s="54"/>
      <c r="G71" s="54"/>
      <c r="J71" s="33"/>
      <c r="K71" s="33"/>
    </row>
    <row r="72" spans="1:11" s="72" customFormat="1" ht="12" x14ac:dyDescent="0.2">
      <c r="A72" s="175"/>
      <c r="B72" s="32"/>
      <c r="J72" s="33"/>
      <c r="K72" s="33"/>
    </row>
    <row r="73" spans="1:11" s="72" customFormat="1" ht="12" x14ac:dyDescent="0.2">
      <c r="A73" s="175"/>
      <c r="B73" s="176"/>
      <c r="J73" s="33"/>
      <c r="K73" s="33"/>
    </row>
    <row r="74" spans="1:11" s="72" customFormat="1" ht="12" x14ac:dyDescent="0.2">
      <c r="A74" s="175"/>
      <c r="B74" s="176"/>
      <c r="J74" s="33"/>
      <c r="K74" s="33"/>
    </row>
    <row r="75" spans="1:11" s="72" customFormat="1" ht="12" x14ac:dyDescent="0.2">
      <c r="A75" s="175"/>
      <c r="B75" s="176"/>
      <c r="J75" s="33"/>
      <c r="K75" s="33"/>
    </row>
    <row r="76" spans="1:11" s="72" customFormat="1" ht="12" x14ac:dyDescent="0.2">
      <c r="A76" s="175"/>
      <c r="B76" s="176"/>
      <c r="J76" s="33"/>
      <c r="K76" s="33"/>
    </row>
    <row r="77" spans="1:11" s="72" customFormat="1" ht="12" x14ac:dyDescent="0.2">
      <c r="A77" s="175"/>
      <c r="B77" s="176"/>
      <c r="J77" s="33"/>
      <c r="K77" s="33"/>
    </row>
    <row r="78" spans="1:11" s="72" customFormat="1" ht="12" x14ac:dyDescent="0.2">
      <c r="A78" s="175"/>
      <c r="B78" s="176"/>
      <c r="J78" s="33"/>
      <c r="K78" s="33"/>
    </row>
    <row r="79" spans="1:11" s="72" customFormat="1" ht="12" x14ac:dyDescent="0.2">
      <c r="A79" s="175"/>
      <c r="B79" s="176"/>
      <c r="J79" s="33"/>
      <c r="K79" s="33"/>
    </row>
    <row r="80" spans="1:11" s="72" customFormat="1" ht="12" x14ac:dyDescent="0.2">
      <c r="A80" s="175"/>
      <c r="B80" s="176"/>
      <c r="J80" s="33"/>
      <c r="K80" s="33"/>
    </row>
    <row r="81" spans="1:11" s="72" customFormat="1" ht="12" x14ac:dyDescent="0.2">
      <c r="A81" s="175"/>
      <c r="B81" s="176"/>
      <c r="J81" s="33"/>
      <c r="K81" s="33"/>
    </row>
    <row r="82" spans="1:11" s="72" customFormat="1" ht="12" x14ac:dyDescent="0.2">
      <c r="A82" s="175"/>
      <c r="B82" s="176"/>
      <c r="J82" s="33"/>
      <c r="K82" s="33"/>
    </row>
    <row r="83" spans="1:11" s="72" customFormat="1" ht="12" x14ac:dyDescent="0.2">
      <c r="A83" s="175"/>
      <c r="B83" s="176"/>
      <c r="J83" s="33"/>
      <c r="K83" s="33"/>
    </row>
    <row r="84" spans="1:11" s="72" customFormat="1" ht="12" x14ac:dyDescent="0.2">
      <c r="A84" s="175"/>
      <c r="B84" s="176"/>
      <c r="J84" s="33"/>
      <c r="K84" s="33"/>
    </row>
    <row r="85" spans="1:11" s="72" customFormat="1" ht="12" x14ac:dyDescent="0.2">
      <c r="A85" s="175"/>
      <c r="B85" s="176"/>
      <c r="J85" s="33"/>
      <c r="K85" s="33"/>
    </row>
    <row r="86" spans="1:11" s="72" customFormat="1" ht="12" x14ac:dyDescent="0.2">
      <c r="A86" s="175"/>
      <c r="B86" s="176"/>
      <c r="J86" s="33"/>
      <c r="K86" s="33"/>
    </row>
    <row r="87" spans="1:11" s="72" customFormat="1" ht="12" x14ac:dyDescent="0.2">
      <c r="A87" s="175"/>
      <c r="B87" s="176"/>
      <c r="J87" s="33"/>
      <c r="K87" s="33"/>
    </row>
  </sheetData>
  <sheetProtection formatCells="0" formatColumns="0" formatRows="0" insertColumns="0" insertRows="0" insertHyperlinks="0" deleteColumns="0" deleteRows="0" selectLockedCells="1" sort="0" autoFilter="0" pivotTables="0"/>
  <conditionalFormatting sqref="C5:C11 C39:C47">
    <cfRule type="cellIs" dxfId="398" priority="31" operator="equal">
      <formula>"Level 5 - Optimized"</formula>
    </cfRule>
    <cfRule type="cellIs" dxfId="397" priority="35" operator="equal">
      <formula>"Level 1 - Initial"</formula>
    </cfRule>
    <cfRule type="cellIs" dxfId="396" priority="34" operator="equal">
      <formula>"Level 2 - Repeatable"</formula>
    </cfRule>
    <cfRule type="cellIs" dxfId="395" priority="33" operator="equal">
      <formula>"Level 3 - Defined"</formula>
    </cfRule>
    <cfRule type="cellIs" dxfId="394" priority="32" operator="equal">
      <formula>"Level 4 - Managed"</formula>
    </cfRule>
  </conditionalFormatting>
  <conditionalFormatting sqref="C5:C11">
    <cfRule type="cellIs" dxfId="393" priority="36" operator="equal">
      <formula>"Level 0 - Does not exist"</formula>
    </cfRule>
  </conditionalFormatting>
  <conditionalFormatting sqref="C13:C20">
    <cfRule type="cellIs" dxfId="392" priority="25" operator="equal">
      <formula>"Level 5 - Optimized"</formula>
    </cfRule>
    <cfRule type="cellIs" dxfId="391" priority="26" operator="equal">
      <formula>"Level 4 - Managed"</formula>
    </cfRule>
    <cfRule type="cellIs" dxfId="390" priority="27" operator="equal">
      <formula>"Level 3 - Defined"</formula>
    </cfRule>
    <cfRule type="cellIs" dxfId="389" priority="28" operator="equal">
      <formula>"Level 2 - Repeatable"</formula>
    </cfRule>
    <cfRule type="cellIs" dxfId="388" priority="29" operator="equal">
      <formula>"Level 1 - Initial"</formula>
    </cfRule>
  </conditionalFormatting>
  <conditionalFormatting sqref="C22:C27">
    <cfRule type="cellIs" dxfId="387" priority="19" operator="equal">
      <formula>"Level 5 - Optimized"</formula>
    </cfRule>
    <cfRule type="cellIs" dxfId="386" priority="20" operator="equal">
      <formula>"Level 4 - Managed"</formula>
    </cfRule>
    <cfRule type="cellIs" dxfId="385" priority="21" operator="equal">
      <formula>"Level 3 - Defined"</formula>
    </cfRule>
    <cfRule type="cellIs" dxfId="384" priority="22" operator="equal">
      <formula>"Level 2 - Repeatable"</formula>
    </cfRule>
    <cfRule type="cellIs" dxfId="383" priority="23" operator="equal">
      <formula>"Level 1 - Initial"</formula>
    </cfRule>
    <cfRule type="cellIs" dxfId="382" priority="24" operator="equal">
      <formula>"Level 0 - Does not exist"</formula>
    </cfRule>
  </conditionalFormatting>
  <conditionalFormatting sqref="C29:C37">
    <cfRule type="cellIs" dxfId="381" priority="13" operator="equal">
      <formula>"Level 5 - Optimized"</formula>
    </cfRule>
    <cfRule type="cellIs" dxfId="380" priority="14" operator="equal">
      <formula>"Level 4 - Managed"</formula>
    </cfRule>
    <cfRule type="cellIs" dxfId="379" priority="15" operator="equal">
      <formula>"Level 3 - Defined"</formula>
    </cfRule>
    <cfRule type="cellIs" dxfId="378" priority="16" operator="equal">
      <formula>"Level 2 - Repeatable"</formula>
    </cfRule>
    <cfRule type="cellIs" dxfId="377" priority="17" operator="equal">
      <formula>"Level 1 - Initial"</formula>
    </cfRule>
    <cfRule type="cellIs" dxfId="376" priority="18" operator="equal">
      <formula>"Level 0 - Does not exist"</formula>
    </cfRule>
  </conditionalFormatting>
  <conditionalFormatting sqref="C39:C47">
    <cfRule type="cellIs" dxfId="375" priority="165" operator="equal">
      <formula>"Level 0 - Does not exist"</formula>
    </cfRule>
  </conditionalFormatting>
  <conditionalFormatting sqref="C67:C71">
    <cfRule type="cellIs" dxfId="374" priority="1" operator="equal">
      <formula>"Level 5 - Optimized"</formula>
    </cfRule>
    <cfRule type="cellIs" dxfId="373" priority="6" operator="equal">
      <formula>"Level 0 - Does not exist"</formula>
    </cfRule>
    <cfRule type="cellIs" dxfId="372" priority="5" operator="equal">
      <formula>"Level 1 - Initial"</formula>
    </cfRule>
    <cfRule type="cellIs" dxfId="371" priority="4" operator="equal">
      <formula>"Level 2 - Repeatable"</formula>
    </cfRule>
    <cfRule type="cellIs" dxfId="370" priority="3" operator="equal">
      <formula>"Level 3 - Defined"</formula>
    </cfRule>
    <cfRule type="cellIs" dxfId="369" priority="2" operator="equal">
      <formula>"Level 4 - Managed"</formula>
    </cfRule>
  </conditionalFormatting>
  <conditionalFormatting sqref="C13:I20">
    <cfRule type="cellIs" dxfId="368" priority="30" operator="equal">
      <formula>"Level 0 - Does not exist"</formula>
    </cfRule>
  </conditionalFormatting>
  <conditionalFormatting sqref="D67:G71">
    <cfRule type="cellIs" dxfId="367" priority="89" operator="equal">
      <formula>4</formula>
    </cfRule>
    <cfRule type="cellIs" dxfId="366" priority="90" operator="equal">
      <formula>3</formula>
    </cfRule>
    <cfRule type="cellIs" dxfId="365" priority="91" operator="equal">
      <formula>2</formula>
    </cfRule>
    <cfRule type="cellIs" dxfId="364" priority="92" operator="equal">
      <formula>"Level 1 - Initial"</formula>
    </cfRule>
    <cfRule type="cellIs" dxfId="363" priority="88" operator="equal">
      <formula>5</formula>
    </cfRule>
  </conditionalFormatting>
  <conditionalFormatting sqref="G9:G11">
    <cfRule type="cellIs" dxfId="362" priority="112" operator="equal">
      <formula>5</formula>
    </cfRule>
    <cfRule type="cellIs" dxfId="361" priority="113" operator="equal">
      <formula>4</formula>
    </cfRule>
    <cfRule type="cellIs" dxfId="360" priority="114" operator="equal">
      <formula>3</formula>
    </cfRule>
    <cfRule type="cellIs" dxfId="359" priority="115" operator="equal">
      <formula>2</formula>
    </cfRule>
    <cfRule type="cellIs" dxfId="358" priority="116" operator="equal">
      <formula>1</formula>
    </cfRule>
    <cfRule type="cellIs" dxfId="357" priority="117" operator="equal">
      <formula>0</formula>
    </cfRule>
  </conditionalFormatting>
  <conditionalFormatting sqref="G22:G27">
    <cfRule type="cellIs" dxfId="356" priority="106" operator="equal">
      <formula>5</formula>
    </cfRule>
    <cfRule type="cellIs" dxfId="355" priority="107" operator="equal">
      <formula>4</formula>
    </cfRule>
    <cfRule type="cellIs" dxfId="354" priority="108" operator="equal">
      <formula>3</formula>
    </cfRule>
    <cfRule type="cellIs" dxfId="353" priority="109" operator="equal">
      <formula>2</formula>
    </cfRule>
    <cfRule type="cellIs" dxfId="352" priority="110" operator="equal">
      <formula>1</formula>
    </cfRule>
    <cfRule type="cellIs" dxfId="351" priority="111" operator="equal">
      <formula>0</formula>
    </cfRule>
  </conditionalFormatting>
  <conditionalFormatting sqref="H39">
    <cfRule type="cellIs" dxfId="350" priority="100" operator="equal">
      <formula>5</formula>
    </cfRule>
    <cfRule type="cellIs" dxfId="349" priority="101" operator="equal">
      <formula>4</formula>
    </cfRule>
    <cfRule type="cellIs" dxfId="348" priority="102" operator="equal">
      <formula>3</formula>
    </cfRule>
    <cfRule type="cellIs" dxfId="347" priority="103" operator="equal">
      <formula>2</formula>
    </cfRule>
    <cfRule type="cellIs" dxfId="346" priority="105" operator="equal">
      <formula>0</formula>
    </cfRule>
    <cfRule type="cellIs" dxfId="345" priority="104" operator="equal">
      <formula>1</formula>
    </cfRule>
  </conditionalFormatting>
  <dataValidations count="1">
    <dataValidation type="list" allowBlank="1" showInputMessage="1" showErrorMessage="1" sqref="I22:I27 I29:I37 I5:I11 I39:I47" xr:uid="{00000000-0002-0000-0500-000000000000}">
      <formula1>$B$5:$B$13</formula1>
    </dataValidation>
  </dataValidations>
  <pageMargins left="0.7" right="0.7" top="0.75" bottom="0.75" header="0.3" footer="0.3"/>
  <pageSetup scale="97" fitToHeight="0" orientation="portrait" horizontalDpi="300" verticalDpi="300"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500-000001000000}">
          <x14:formula1>
            <xm:f>'CoBIT maturity key'!$B$4:$B$9</xm:f>
          </x14:formula1>
          <xm:sqref>I13:I20 D66:H66 D5:H47</xm:sqref>
        </x14:dataValidation>
        <x14:dataValidation type="list" allowBlank="1" showInputMessage="1" showErrorMessage="1" xr:uid="{00000000-0002-0000-0500-000002000000}">
          <x14:formula1>
            <xm:f>'CoBIT maturity key'!$A$4:$A$9</xm:f>
          </x14:formula1>
          <xm:sqref>C5:C71</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B0F0"/>
    <pageSetUpPr fitToPage="1"/>
  </sheetPr>
  <dimension ref="A1:G113"/>
  <sheetViews>
    <sheetView zoomScale="115" zoomScaleNormal="115" zoomScalePageLayoutView="125" workbookViewId="0">
      <pane ySplit="4" topLeftCell="A5" activePane="bottomLeft" state="frozen"/>
      <selection pane="bottomLeft"/>
    </sheetView>
  </sheetViews>
  <sheetFormatPr baseColWidth="10" defaultColWidth="8.83203125" defaultRowHeight="14.25" customHeight="1" x14ac:dyDescent="0.2"/>
  <cols>
    <col min="1" max="1" width="56.1640625" style="5" bestFit="1" customWidth="1"/>
    <col min="2" max="2" width="75.5" style="19" customWidth="1"/>
    <col min="3" max="3" width="41.5" style="10" customWidth="1"/>
    <col min="4" max="4" width="13.5" style="11" hidden="1" customWidth="1"/>
    <col min="5" max="5" width="13.5" style="12" hidden="1" customWidth="1"/>
    <col min="6" max="6" width="12" style="13" hidden="1" customWidth="1"/>
    <col min="7" max="7" width="8.83203125" style="5"/>
    <col min="8" max="8" width="11.1640625" style="5" bestFit="1" customWidth="1"/>
    <col min="9" max="16384" width="8.83203125" style="5"/>
  </cols>
  <sheetData>
    <row r="1" spans="1:7" s="25" customFormat="1" ht="29.25" customHeight="1" x14ac:dyDescent="0.2">
      <c r="A1" s="23"/>
      <c r="B1" s="24"/>
    </row>
    <row r="2" spans="1:7" s="30" customFormat="1" ht="22.5" customHeight="1" x14ac:dyDescent="0.2">
      <c r="A2" s="30" t="s">
        <v>350</v>
      </c>
      <c r="G2" s="31"/>
    </row>
    <row r="3" spans="1:7" s="122" customFormat="1" ht="22.5" customHeight="1" x14ac:dyDescent="0.2">
      <c r="A3" s="122" t="s">
        <v>351</v>
      </c>
      <c r="G3" s="123"/>
    </row>
    <row r="4" spans="1:7" s="26" customFormat="1" ht="16.5" customHeight="1" x14ac:dyDescent="0.2">
      <c r="A4" s="26" t="s">
        <v>352</v>
      </c>
      <c r="B4" s="26" t="s">
        <v>353</v>
      </c>
      <c r="C4" s="27" t="s">
        <v>354</v>
      </c>
      <c r="D4" s="27" t="s">
        <v>4</v>
      </c>
      <c r="E4" s="27" t="s">
        <v>5</v>
      </c>
      <c r="F4" s="27" t="s">
        <v>74</v>
      </c>
    </row>
    <row r="5" spans="1:7" s="32" customFormat="1" ht="21" customHeight="1" x14ac:dyDescent="0.2"/>
    <row r="6" spans="1:7" s="32" customFormat="1" ht="21" customHeight="1" x14ac:dyDescent="0.2"/>
    <row r="7" spans="1:7" s="32" customFormat="1" ht="21" customHeight="1" x14ac:dyDescent="0.2"/>
    <row r="8" spans="1:7" s="32" customFormat="1" ht="21" customHeight="1" x14ac:dyDescent="0.2"/>
    <row r="9" spans="1:7" s="32" customFormat="1" ht="21" customHeight="1" x14ac:dyDescent="0.2"/>
    <row r="10" spans="1:7" s="32" customFormat="1" ht="21" customHeight="1" x14ac:dyDescent="0.2"/>
    <row r="11" spans="1:7" s="32" customFormat="1" ht="21" customHeight="1" x14ac:dyDescent="0.2"/>
    <row r="12" spans="1:7" s="32" customFormat="1" ht="21" customHeight="1" x14ac:dyDescent="0.2"/>
    <row r="13" spans="1:7" s="32" customFormat="1" ht="21" customHeight="1" x14ac:dyDescent="0.2"/>
    <row r="14" spans="1:7" s="32" customFormat="1" ht="21" customHeight="1" x14ac:dyDescent="0.2"/>
    <row r="15" spans="1:7" s="32" customFormat="1" ht="21" customHeight="1" x14ac:dyDescent="0.2"/>
    <row r="16" spans="1:7" s="32" customFormat="1" ht="21" customHeight="1" x14ac:dyDescent="0.2"/>
    <row r="17" s="32" customFormat="1" ht="21" customHeight="1" x14ac:dyDescent="0.2"/>
    <row r="18" s="32" customFormat="1" ht="21" customHeight="1" x14ac:dyDescent="0.2"/>
    <row r="19" s="32" customFormat="1" ht="21" customHeight="1" x14ac:dyDescent="0.2"/>
    <row r="20" s="32" customFormat="1" ht="21" customHeight="1" x14ac:dyDescent="0.2"/>
    <row r="21" s="32" customFormat="1" ht="21" customHeight="1" x14ac:dyDescent="0.2"/>
    <row r="22" s="32" customFormat="1" ht="21" customHeight="1" x14ac:dyDescent="0.2"/>
    <row r="23" s="32" customFormat="1" ht="21" customHeight="1" x14ac:dyDescent="0.2"/>
    <row r="24" s="32" customFormat="1" ht="21" customHeight="1" x14ac:dyDescent="0.2"/>
    <row r="25" s="32" customFormat="1" ht="21" customHeight="1" x14ac:dyDescent="0.2"/>
    <row r="26" s="32" customFormat="1" ht="21" customHeight="1" x14ac:dyDescent="0.2"/>
    <row r="27" s="32" customFormat="1" ht="21" customHeight="1" x14ac:dyDescent="0.2"/>
    <row r="28" s="32" customFormat="1" ht="21" customHeight="1" x14ac:dyDescent="0.2"/>
    <row r="29" s="32" customFormat="1" ht="21" customHeight="1" x14ac:dyDescent="0.2"/>
    <row r="30" s="32" customFormat="1" ht="21" customHeight="1" x14ac:dyDescent="0.2"/>
    <row r="31" s="32" customFormat="1" ht="21" customHeight="1" x14ac:dyDescent="0.2"/>
    <row r="32" s="32" customFormat="1" ht="21" customHeight="1" x14ac:dyDescent="0.2"/>
    <row r="33" s="32" customFormat="1" ht="23.25" customHeight="1" x14ac:dyDescent="0.2"/>
    <row r="34" s="32" customFormat="1" ht="23.25" customHeight="1" x14ac:dyDescent="0.2"/>
    <row r="35" s="32" customFormat="1" ht="21" customHeight="1" x14ac:dyDescent="0.2"/>
    <row r="36" s="32" customFormat="1" ht="21" customHeight="1" x14ac:dyDescent="0.2"/>
    <row r="37" s="32" customFormat="1" ht="21" customHeight="1" x14ac:dyDescent="0.2"/>
    <row r="38" s="32" customFormat="1" ht="21" customHeight="1" x14ac:dyDescent="0.2"/>
    <row r="39" s="32" customFormat="1" ht="21" customHeight="1" x14ac:dyDescent="0.2"/>
    <row r="40" s="32" customFormat="1" ht="21" customHeight="1" x14ac:dyDescent="0.2"/>
    <row r="41" s="32" customFormat="1" ht="21" customHeight="1" x14ac:dyDescent="0.2"/>
    <row r="42" s="32" customFormat="1" ht="21" customHeight="1" x14ac:dyDescent="0.2"/>
    <row r="43" s="32" customFormat="1" ht="21" customHeight="1" x14ac:dyDescent="0.2"/>
    <row r="44" s="32" customFormat="1" ht="21" customHeight="1" x14ac:dyDescent="0.2"/>
    <row r="45" s="32" customFormat="1" ht="21" customHeight="1" x14ac:dyDescent="0.2"/>
    <row r="46" s="32" customFormat="1" ht="21" customHeight="1" x14ac:dyDescent="0.2"/>
    <row r="47" s="32" customFormat="1" ht="21" customHeight="1" x14ac:dyDescent="0.2"/>
    <row r="48" s="32" customFormat="1" ht="21" customHeight="1" x14ac:dyDescent="0.2"/>
    <row r="49" s="32" customFormat="1" ht="21" customHeight="1" x14ac:dyDescent="0.2"/>
    <row r="50" s="32" customFormat="1" ht="21" customHeight="1" x14ac:dyDescent="0.2"/>
    <row r="51" s="32" customFormat="1" ht="21" customHeight="1" x14ac:dyDescent="0.2"/>
    <row r="52" s="32" customFormat="1" ht="21" customHeight="1" x14ac:dyDescent="0.2"/>
    <row r="53" s="32" customFormat="1" ht="21" customHeight="1" x14ac:dyDescent="0.2"/>
    <row r="54" s="32" customFormat="1" ht="21" customHeight="1" x14ac:dyDescent="0.2"/>
    <row r="55" s="32" customFormat="1" ht="21" customHeight="1" x14ac:dyDescent="0.2"/>
    <row r="56" s="32" customFormat="1" ht="21" customHeight="1" x14ac:dyDescent="0.2"/>
    <row r="57" s="32" customFormat="1" ht="21" customHeight="1" x14ac:dyDescent="0.2"/>
    <row r="58" s="32" customFormat="1" ht="21" customHeight="1" x14ac:dyDescent="0.2"/>
    <row r="59" s="32" customFormat="1" ht="21" customHeight="1" x14ac:dyDescent="0.2"/>
    <row r="60" s="32" customFormat="1" ht="21" customHeight="1" x14ac:dyDescent="0.2"/>
    <row r="61" s="32" customFormat="1" ht="21" customHeight="1" x14ac:dyDescent="0.2"/>
    <row r="62" s="32" customFormat="1" ht="21" customHeight="1" x14ac:dyDescent="0.2"/>
    <row r="63" s="32" customFormat="1" ht="21" customHeight="1" x14ac:dyDescent="0.2"/>
    <row r="64" s="32" customFormat="1" ht="21" customHeight="1" x14ac:dyDescent="0.2"/>
    <row r="65" s="32" customFormat="1" ht="21" customHeight="1" x14ac:dyDescent="0.2"/>
    <row r="66" s="32" customFormat="1" ht="21" customHeight="1" x14ac:dyDescent="0.2"/>
    <row r="67" s="32" customFormat="1" ht="21" customHeight="1" x14ac:dyDescent="0.2"/>
    <row r="68" s="32" customFormat="1" ht="21" customHeight="1" x14ac:dyDescent="0.2"/>
    <row r="69" s="32" customFormat="1" ht="21" customHeight="1" x14ac:dyDescent="0.2"/>
    <row r="70" s="32" customFormat="1" ht="21" customHeight="1" x14ac:dyDescent="0.2"/>
    <row r="71" s="32" customFormat="1" ht="21" customHeight="1" x14ac:dyDescent="0.2"/>
    <row r="72" s="32" customFormat="1" ht="21" customHeight="1" x14ac:dyDescent="0.2"/>
    <row r="73" s="32" customFormat="1" ht="21" customHeight="1" x14ac:dyDescent="0.2"/>
    <row r="74" s="32" customFormat="1" ht="21" customHeight="1" x14ac:dyDescent="0.2"/>
    <row r="75" s="32" customFormat="1" ht="21" customHeight="1" x14ac:dyDescent="0.2"/>
    <row r="76" s="32" customFormat="1" ht="21" customHeight="1" x14ac:dyDescent="0.2"/>
    <row r="77" s="32" customFormat="1" ht="21" customHeight="1" x14ac:dyDescent="0.2"/>
    <row r="78" s="32" customFormat="1" ht="21" customHeight="1" x14ac:dyDescent="0.2"/>
    <row r="79" s="32" customFormat="1" ht="21" customHeight="1" x14ac:dyDescent="0.2"/>
    <row r="80" s="32" customFormat="1" ht="21" customHeight="1" x14ac:dyDescent="0.2"/>
    <row r="81" spans="2:7" s="32" customFormat="1" ht="21" customHeight="1" x14ac:dyDescent="0.2"/>
    <row r="82" spans="2:7" s="32" customFormat="1" ht="21" customHeight="1" x14ac:dyDescent="0.2"/>
    <row r="83" spans="2:7" s="32" customFormat="1" ht="21" customHeight="1" x14ac:dyDescent="0.2"/>
    <row r="84" spans="2:7" s="32" customFormat="1" ht="21" customHeight="1" x14ac:dyDescent="0.2"/>
    <row r="85" spans="2:7" s="32" customFormat="1" ht="21" customHeight="1" x14ac:dyDescent="0.2"/>
    <row r="86" spans="2:7" s="32" customFormat="1" ht="21" customHeight="1" x14ac:dyDescent="0.2"/>
    <row r="87" spans="2:7" s="32" customFormat="1" ht="21" customHeight="1" x14ac:dyDescent="0.2"/>
    <row r="88" spans="2:7" s="32" customFormat="1" ht="21" customHeight="1" x14ac:dyDescent="0.2"/>
    <row r="89" spans="2:7" s="32" customFormat="1" ht="21" customHeight="1" x14ac:dyDescent="0.2"/>
    <row r="90" spans="2:7" s="32" customFormat="1" ht="21" customHeight="1" x14ac:dyDescent="0.2"/>
    <row r="91" spans="2:7" s="32" customFormat="1" ht="21" customHeight="1" x14ac:dyDescent="0.2"/>
    <row r="92" spans="2:7" s="32" customFormat="1" ht="21" customHeight="1" x14ac:dyDescent="0.2"/>
    <row r="93" spans="2:7" s="32" customFormat="1" ht="14.25" customHeight="1" x14ac:dyDescent="0.2"/>
    <row r="94" spans="2:7" s="7" customFormat="1" ht="15" hidden="1" customHeight="1" x14ac:dyDescent="0.2">
      <c r="B94" s="7" t="s">
        <v>165</v>
      </c>
      <c r="C94" s="7" t="e">
        <f>#REF!</f>
        <v>#REF!</v>
      </c>
      <c r="D94" s="7" t="e">
        <f t="shared" ref="D94:F94" si="0">#REF!</f>
        <v>#REF!</v>
      </c>
      <c r="E94" s="7" t="e">
        <f t="shared" si="0"/>
        <v>#REF!</v>
      </c>
      <c r="F94" s="7" t="e">
        <f t="shared" si="0"/>
        <v>#REF!</v>
      </c>
      <c r="G94" s="16"/>
    </row>
    <row r="95" spans="2:7" s="6" customFormat="1" ht="15" hidden="1" customHeight="1" x14ac:dyDescent="0.2">
      <c r="B95" s="32">
        <f>A5</f>
        <v>0</v>
      </c>
      <c r="C95" s="20">
        <f>SUM(C6:C26)</f>
        <v>0</v>
      </c>
      <c r="D95" s="20">
        <f t="shared" ref="D95:F95" si="1">SUM(D6:D26)</f>
        <v>0</v>
      </c>
      <c r="E95" s="20">
        <f t="shared" si="1"/>
        <v>0</v>
      </c>
      <c r="F95" s="20">
        <f t="shared" si="1"/>
        <v>0</v>
      </c>
      <c r="G95" s="15"/>
    </row>
    <row r="96" spans="2:7" s="6" customFormat="1" ht="15" hidden="1" customHeight="1" x14ac:dyDescent="0.2">
      <c r="B96" s="32">
        <f>A27</f>
        <v>0</v>
      </c>
      <c r="C96" s="20">
        <f>SUM(C28:C47)</f>
        <v>0</v>
      </c>
      <c r="D96" s="20">
        <f t="shared" ref="D96:F96" si="2">SUM(D28:D47)</f>
        <v>0</v>
      </c>
      <c r="E96" s="20">
        <f t="shared" si="2"/>
        <v>0</v>
      </c>
      <c r="F96" s="20">
        <f t="shared" si="2"/>
        <v>0</v>
      </c>
      <c r="G96" s="15"/>
    </row>
    <row r="97" spans="2:7" s="6" customFormat="1" ht="15" hidden="1" customHeight="1" x14ac:dyDescent="0.2">
      <c r="B97" s="32">
        <f>A48</f>
        <v>0</v>
      </c>
      <c r="C97" s="20">
        <f>SUM(C49:C57)</f>
        <v>0</v>
      </c>
      <c r="D97" s="20">
        <f t="shared" ref="D97:F97" si="3">SUM(D49:D57)</f>
        <v>0</v>
      </c>
      <c r="E97" s="20">
        <f t="shared" si="3"/>
        <v>0</v>
      </c>
      <c r="F97" s="20">
        <f t="shared" si="3"/>
        <v>0</v>
      </c>
      <c r="G97" s="15"/>
    </row>
    <row r="98" spans="2:7" s="6" customFormat="1" ht="15" hidden="1" customHeight="1" x14ac:dyDescent="0.2">
      <c r="B98" s="32">
        <f>A58</f>
        <v>0</v>
      </c>
      <c r="C98" s="20">
        <f>SUM(C59:C66)</f>
        <v>0</v>
      </c>
      <c r="D98" s="20">
        <f t="shared" ref="D98:F98" si="4">SUM(D59:D66)</f>
        <v>0</v>
      </c>
      <c r="E98" s="20">
        <f t="shared" si="4"/>
        <v>0</v>
      </c>
      <c r="F98" s="20">
        <f t="shared" si="4"/>
        <v>0</v>
      </c>
      <c r="G98" s="15"/>
    </row>
    <row r="99" spans="2:7" s="6" customFormat="1" ht="15" hidden="1" customHeight="1" x14ac:dyDescent="0.2">
      <c r="B99" s="32">
        <f>A67</f>
        <v>0</v>
      </c>
      <c r="C99" s="20">
        <f>SUM(C68:C73)</f>
        <v>0</v>
      </c>
      <c r="D99" s="20">
        <f t="shared" ref="D99:F99" si="5">SUM(D68:D73)</f>
        <v>0</v>
      </c>
      <c r="E99" s="20">
        <f t="shared" si="5"/>
        <v>0</v>
      </c>
      <c r="F99" s="20">
        <f t="shared" si="5"/>
        <v>0</v>
      </c>
      <c r="G99" s="15"/>
    </row>
    <row r="100" spans="2:7" s="6" customFormat="1" ht="15" hidden="1" customHeight="1" x14ac:dyDescent="0.2">
      <c r="B100" s="44">
        <f>A74</f>
        <v>0</v>
      </c>
      <c r="C100" s="20">
        <f>SUM(C75:C79)</f>
        <v>0</v>
      </c>
      <c r="D100" s="20">
        <f t="shared" ref="D100:F100" si="6">SUM(D75:D79)</f>
        <v>0</v>
      </c>
      <c r="E100" s="20">
        <f t="shared" si="6"/>
        <v>0</v>
      </c>
      <c r="F100" s="20">
        <f t="shared" si="6"/>
        <v>0</v>
      </c>
      <c r="G100" s="15"/>
    </row>
    <row r="101" spans="2:7" s="6" customFormat="1" ht="15" hidden="1" customHeight="1" thickBot="1" x14ac:dyDescent="0.25">
      <c r="B101" s="44">
        <f>A80</f>
        <v>0</v>
      </c>
      <c r="C101" s="20">
        <f>SUM(C81:C92)</f>
        <v>0</v>
      </c>
      <c r="D101" s="20">
        <f t="shared" ref="D101:F101" si="7">SUM(D81:D92)</f>
        <v>0</v>
      </c>
      <c r="E101" s="20">
        <f t="shared" si="7"/>
        <v>0</v>
      </c>
      <c r="F101" s="20">
        <f t="shared" si="7"/>
        <v>0</v>
      </c>
      <c r="G101" s="15"/>
    </row>
    <row r="102" spans="2:7" s="45" customFormat="1" ht="15" hidden="1" customHeight="1" thickBot="1" x14ac:dyDescent="0.25">
      <c r="B102" s="46" t="s">
        <v>166</v>
      </c>
      <c r="C102" s="47">
        <f>SUM(C95:C99)</f>
        <v>0</v>
      </c>
      <c r="D102" s="47">
        <f t="shared" ref="D102:F102" si="8">SUM(D95:D99)</f>
        <v>0</v>
      </c>
      <c r="E102" s="47">
        <f t="shared" si="8"/>
        <v>0</v>
      </c>
      <c r="F102" s="47">
        <f t="shared" si="8"/>
        <v>0</v>
      </c>
      <c r="G102" s="49"/>
    </row>
    <row r="103" spans="2:7" s="6" customFormat="1" ht="15" hidden="1" x14ac:dyDescent="0.2">
      <c r="B103" s="8"/>
      <c r="G103" s="15"/>
    </row>
    <row r="104" spans="2:7" s="6" customFormat="1" ht="15" hidden="1" x14ac:dyDescent="0.2">
      <c r="B104" s="8"/>
      <c r="G104" s="15"/>
    </row>
    <row r="105" spans="2:7" s="7" customFormat="1" ht="15" hidden="1" customHeight="1" x14ac:dyDescent="0.2">
      <c r="B105" s="7" t="s">
        <v>167</v>
      </c>
      <c r="C105" s="7" t="e">
        <f t="shared" ref="C105:F105" si="9">C94</f>
        <v>#REF!</v>
      </c>
      <c r="D105" s="7" t="e">
        <f t="shared" si="9"/>
        <v>#REF!</v>
      </c>
      <c r="E105" s="7" t="e">
        <f t="shared" si="9"/>
        <v>#REF!</v>
      </c>
      <c r="F105" s="7" t="e">
        <f t="shared" si="9"/>
        <v>#REF!</v>
      </c>
      <c r="G105" s="16"/>
    </row>
    <row r="106" spans="2:7" s="6" customFormat="1" ht="15" hidden="1" customHeight="1" x14ac:dyDescent="0.2">
      <c r="B106" s="32">
        <f>B95</f>
        <v>0</v>
      </c>
      <c r="C106" s="21" t="e">
        <f>C95/#REF!</f>
        <v>#REF!</v>
      </c>
      <c r="D106" s="21" t="e">
        <f>D95/#REF!</f>
        <v>#REF!</v>
      </c>
      <c r="E106" s="21" t="e">
        <f>E95/#REF!</f>
        <v>#REF!</v>
      </c>
      <c r="F106" s="21" t="e">
        <f>F95/#REF!</f>
        <v>#REF!</v>
      </c>
      <c r="G106" s="15"/>
    </row>
    <row r="107" spans="2:7" s="6" customFormat="1" ht="15" hidden="1" customHeight="1" x14ac:dyDescent="0.2">
      <c r="B107" s="32">
        <f>B96</f>
        <v>0</v>
      </c>
      <c r="C107" s="21" t="e">
        <f>C96/#REF!</f>
        <v>#REF!</v>
      </c>
      <c r="D107" s="21" t="e">
        <f>D96/#REF!</f>
        <v>#REF!</v>
      </c>
      <c r="E107" s="21" t="e">
        <f>E96/#REF!</f>
        <v>#REF!</v>
      </c>
      <c r="F107" s="21" t="e">
        <f>F96/#REF!</f>
        <v>#REF!</v>
      </c>
      <c r="G107" s="15"/>
    </row>
    <row r="108" spans="2:7" s="6" customFormat="1" ht="15" hidden="1" customHeight="1" x14ac:dyDescent="0.2">
      <c r="B108" s="32">
        <f>B97</f>
        <v>0</v>
      </c>
      <c r="C108" s="21" t="e">
        <f>C97/#REF!</f>
        <v>#REF!</v>
      </c>
      <c r="D108" s="21" t="e">
        <f>D97/#REF!</f>
        <v>#REF!</v>
      </c>
      <c r="E108" s="21" t="e">
        <f>E97/#REF!</f>
        <v>#REF!</v>
      </c>
      <c r="F108" s="21" t="e">
        <f>F97/#REF!</f>
        <v>#REF!</v>
      </c>
      <c r="G108" s="15"/>
    </row>
    <row r="109" spans="2:7" s="6" customFormat="1" ht="15" hidden="1" customHeight="1" x14ac:dyDescent="0.2">
      <c r="B109" s="32">
        <f>B98</f>
        <v>0</v>
      </c>
      <c r="C109" s="21" t="e">
        <f>C98/#REF!</f>
        <v>#REF!</v>
      </c>
      <c r="D109" s="21" t="e">
        <f>D98/#REF!</f>
        <v>#REF!</v>
      </c>
      <c r="E109" s="21" t="e">
        <f>E98/#REF!</f>
        <v>#REF!</v>
      </c>
      <c r="F109" s="21" t="e">
        <f>F98/#REF!</f>
        <v>#REF!</v>
      </c>
      <c r="G109" s="15"/>
    </row>
    <row r="110" spans="2:7" s="6" customFormat="1" ht="15" hidden="1" customHeight="1" x14ac:dyDescent="0.2">
      <c r="B110" s="32">
        <f>B99</f>
        <v>0</v>
      </c>
      <c r="C110" s="21" t="e">
        <f>C99/#REF!</f>
        <v>#REF!</v>
      </c>
      <c r="D110" s="21" t="e">
        <f>D99/#REF!</f>
        <v>#REF!</v>
      </c>
      <c r="E110" s="21" t="e">
        <f>E99/#REF!</f>
        <v>#REF!</v>
      </c>
      <c r="F110" s="21" t="e">
        <f>F99/#REF!</f>
        <v>#REF!</v>
      </c>
      <c r="G110" s="15"/>
    </row>
    <row r="111" spans="2:7" s="6" customFormat="1" ht="15" hidden="1" customHeight="1" x14ac:dyDescent="0.2">
      <c r="B111" s="32">
        <f t="shared" ref="B111:B112" si="10">B100</f>
        <v>0</v>
      </c>
      <c r="C111" s="21" t="e">
        <f>C100/#REF!</f>
        <v>#REF!</v>
      </c>
      <c r="D111" s="21" t="e">
        <f>D100/#REF!</f>
        <v>#REF!</v>
      </c>
      <c r="E111" s="21" t="e">
        <f>E100/#REF!</f>
        <v>#REF!</v>
      </c>
      <c r="F111" s="21" t="e">
        <f>F100/#REF!</f>
        <v>#REF!</v>
      </c>
      <c r="G111" s="15"/>
    </row>
    <row r="112" spans="2:7" s="6" customFormat="1" ht="15" hidden="1" customHeight="1" thickBot="1" x14ac:dyDescent="0.25">
      <c r="B112" s="32">
        <f t="shared" si="10"/>
        <v>0</v>
      </c>
      <c r="C112" s="21" t="e">
        <f>C101/#REF!</f>
        <v>#REF!</v>
      </c>
      <c r="D112" s="21" t="e">
        <f>D101/#REF!</f>
        <v>#REF!</v>
      </c>
      <c r="E112" s="21" t="e">
        <f>E101/#REF!</f>
        <v>#REF!</v>
      </c>
      <c r="F112" s="21" t="e">
        <f>F101/#REF!</f>
        <v>#REF!</v>
      </c>
      <c r="G112" s="15"/>
    </row>
    <row r="113" spans="2:7" s="45" customFormat="1" ht="15" hidden="1" customHeight="1" thickBot="1" x14ac:dyDescent="0.25">
      <c r="B113" s="50" t="s">
        <v>166</v>
      </c>
      <c r="C113" s="21" t="e">
        <f>C102/#REF!</f>
        <v>#REF!</v>
      </c>
      <c r="D113" s="21" t="e">
        <f>D102/#REF!</f>
        <v>#REF!</v>
      </c>
      <c r="E113" s="21" t="e">
        <f>E102/#REF!</f>
        <v>#REF!</v>
      </c>
      <c r="F113" s="21" t="e">
        <f>F102/#REF!</f>
        <v>#REF!</v>
      </c>
      <c r="G113" s="49"/>
    </row>
  </sheetData>
  <sheetProtection formatCells="0" formatColumns="0" formatRows="0" insertColumns="0" insertRows="0" insertHyperlinks="0" deleteColumns="0" deleteRows="0" selectLockedCells="1" sort="0" autoFilter="0" pivotTables="0"/>
  <dataConsolidate/>
  <pageMargins left="0.7" right="0.7" top="0.75" bottom="0.75" header="0.3" footer="0.3"/>
  <pageSetup scale="78" fitToHeight="0" orientation="portrait" horizontalDpi="300" verticalDpi="300"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700-000000000000}">
          <x14:formula1>
            <xm:f>'CoBIT maturity key'!$B$4:$B$9</xm:f>
          </x14:formula1>
          <xm:sqref>C6:F92</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B0F0"/>
    <pageSetUpPr fitToPage="1"/>
  </sheetPr>
  <dimension ref="A1:G113"/>
  <sheetViews>
    <sheetView zoomScale="115" zoomScaleNormal="115" zoomScalePageLayoutView="125" workbookViewId="0">
      <pane ySplit="4" topLeftCell="A5" activePane="bottomLeft" state="frozen"/>
      <selection pane="bottomLeft" activeCell="A5" sqref="A5"/>
    </sheetView>
  </sheetViews>
  <sheetFormatPr baseColWidth="10" defaultColWidth="8.83203125" defaultRowHeight="14.25" customHeight="1" x14ac:dyDescent="0.2"/>
  <cols>
    <col min="1" max="1" width="56.1640625" style="5" bestFit="1" customWidth="1"/>
    <col min="2" max="2" width="75.5" style="19" customWidth="1"/>
    <col min="3" max="3" width="41.5" style="10" customWidth="1"/>
    <col min="4" max="4" width="13.5" style="11" hidden="1" customWidth="1"/>
    <col min="5" max="5" width="13.5" style="12" hidden="1" customWidth="1"/>
    <col min="6" max="6" width="12" style="13" hidden="1" customWidth="1"/>
    <col min="7" max="7" width="8.83203125" style="5"/>
    <col min="8" max="8" width="11.1640625" style="5" bestFit="1" customWidth="1"/>
    <col min="9" max="16384" width="8.83203125" style="5"/>
  </cols>
  <sheetData>
    <row r="1" spans="1:7" s="25" customFormat="1" ht="29.25" customHeight="1" x14ac:dyDescent="0.2">
      <c r="A1" s="23"/>
      <c r="B1" s="24"/>
    </row>
    <row r="2" spans="1:7" s="30" customFormat="1" ht="22.5" customHeight="1" x14ac:dyDescent="0.2">
      <c r="A2" s="30" t="s">
        <v>355</v>
      </c>
      <c r="G2" s="31"/>
    </row>
    <row r="3" spans="1:7" s="122" customFormat="1" ht="22.5" customHeight="1" x14ac:dyDescent="0.2">
      <c r="A3" s="122" t="s">
        <v>356</v>
      </c>
      <c r="G3" s="123"/>
    </row>
    <row r="4" spans="1:7" s="26" customFormat="1" ht="16.5" customHeight="1" x14ac:dyDescent="0.2">
      <c r="A4" s="26" t="s">
        <v>352</v>
      </c>
      <c r="B4" s="26" t="s">
        <v>353</v>
      </c>
      <c r="C4" s="27" t="s">
        <v>357</v>
      </c>
      <c r="D4" s="27" t="s">
        <v>4</v>
      </c>
      <c r="E4" s="27" t="s">
        <v>5</v>
      </c>
      <c r="F4" s="27" t="s">
        <v>74</v>
      </c>
    </row>
    <row r="5" spans="1:7" s="32" customFormat="1" ht="21" customHeight="1" x14ac:dyDescent="0.2"/>
    <row r="6" spans="1:7" s="32" customFormat="1" ht="21" customHeight="1" x14ac:dyDescent="0.2"/>
    <row r="7" spans="1:7" s="32" customFormat="1" ht="21" customHeight="1" x14ac:dyDescent="0.2"/>
    <row r="8" spans="1:7" s="32" customFormat="1" ht="21" customHeight="1" x14ac:dyDescent="0.2"/>
    <row r="9" spans="1:7" s="32" customFormat="1" ht="21" customHeight="1" x14ac:dyDescent="0.2"/>
    <row r="10" spans="1:7" s="32" customFormat="1" ht="21" customHeight="1" x14ac:dyDescent="0.2"/>
    <row r="11" spans="1:7" s="32" customFormat="1" ht="21" customHeight="1" x14ac:dyDescent="0.2"/>
    <row r="12" spans="1:7" s="32" customFormat="1" ht="21" customHeight="1" x14ac:dyDescent="0.2"/>
    <row r="13" spans="1:7" s="32" customFormat="1" ht="21" customHeight="1" x14ac:dyDescent="0.2"/>
    <row r="14" spans="1:7" s="32" customFormat="1" ht="21" customHeight="1" x14ac:dyDescent="0.2"/>
    <row r="15" spans="1:7" s="32" customFormat="1" ht="21" customHeight="1" x14ac:dyDescent="0.2"/>
    <row r="16" spans="1:7" s="32" customFormat="1" ht="21" customHeight="1" x14ac:dyDescent="0.2"/>
    <row r="17" s="32" customFormat="1" ht="21" customHeight="1" x14ac:dyDescent="0.2"/>
    <row r="18" s="32" customFormat="1" ht="21" customHeight="1" x14ac:dyDescent="0.2"/>
    <row r="19" s="32" customFormat="1" ht="21" customHeight="1" x14ac:dyDescent="0.2"/>
    <row r="20" s="32" customFormat="1" ht="21" customHeight="1" x14ac:dyDescent="0.2"/>
    <row r="21" s="32" customFormat="1" ht="21" customHeight="1" x14ac:dyDescent="0.2"/>
    <row r="22" s="32" customFormat="1" ht="21" customHeight="1" x14ac:dyDescent="0.2"/>
    <row r="23" s="32" customFormat="1" ht="21" customHeight="1" x14ac:dyDescent="0.2"/>
    <row r="24" s="32" customFormat="1" ht="21" customHeight="1" x14ac:dyDescent="0.2"/>
    <row r="25" s="32" customFormat="1" ht="21" customHeight="1" x14ac:dyDescent="0.2"/>
    <row r="26" s="32" customFormat="1" ht="21" customHeight="1" x14ac:dyDescent="0.2"/>
    <row r="27" s="32" customFormat="1" ht="21" customHeight="1" x14ac:dyDescent="0.2"/>
    <row r="28" s="32" customFormat="1" ht="21" customHeight="1" x14ac:dyDescent="0.2"/>
    <row r="29" s="32" customFormat="1" ht="21" customHeight="1" x14ac:dyDescent="0.2"/>
    <row r="30" s="32" customFormat="1" ht="21" customHeight="1" x14ac:dyDescent="0.2"/>
    <row r="31" s="32" customFormat="1" ht="21" customHeight="1" x14ac:dyDescent="0.2"/>
    <row r="32" s="32" customFormat="1" ht="21" customHeight="1" x14ac:dyDescent="0.2"/>
    <row r="33" s="32" customFormat="1" ht="23.25" customHeight="1" x14ac:dyDescent="0.2"/>
    <row r="34" s="32" customFormat="1" ht="23.25" customHeight="1" x14ac:dyDescent="0.2"/>
    <row r="35" s="32" customFormat="1" ht="21" customHeight="1" x14ac:dyDescent="0.2"/>
    <row r="36" s="32" customFormat="1" ht="21" customHeight="1" x14ac:dyDescent="0.2"/>
    <row r="37" s="32" customFormat="1" ht="21" customHeight="1" x14ac:dyDescent="0.2"/>
    <row r="38" s="32" customFormat="1" ht="21" customHeight="1" x14ac:dyDescent="0.2"/>
    <row r="39" s="32" customFormat="1" ht="21" customHeight="1" x14ac:dyDescent="0.2"/>
    <row r="40" s="32" customFormat="1" ht="21" customHeight="1" x14ac:dyDescent="0.2"/>
    <row r="41" s="32" customFormat="1" ht="21" customHeight="1" x14ac:dyDescent="0.2"/>
    <row r="42" s="32" customFormat="1" ht="21" customHeight="1" x14ac:dyDescent="0.2"/>
    <row r="43" s="32" customFormat="1" ht="21" customHeight="1" x14ac:dyDescent="0.2"/>
    <row r="44" s="32" customFormat="1" ht="21" customHeight="1" x14ac:dyDescent="0.2"/>
    <row r="45" s="32" customFormat="1" ht="21" customHeight="1" x14ac:dyDescent="0.2"/>
    <row r="46" s="32" customFormat="1" ht="21" customHeight="1" x14ac:dyDescent="0.2"/>
    <row r="47" s="32" customFormat="1" ht="21" customHeight="1" x14ac:dyDescent="0.2"/>
    <row r="48" s="32" customFormat="1" ht="21" customHeight="1" x14ac:dyDescent="0.2"/>
    <row r="49" s="32" customFormat="1" ht="21" customHeight="1" x14ac:dyDescent="0.2"/>
    <row r="50" s="32" customFormat="1" ht="21" customHeight="1" x14ac:dyDescent="0.2"/>
    <row r="51" s="32" customFormat="1" ht="21" customHeight="1" x14ac:dyDescent="0.2"/>
    <row r="52" s="32" customFormat="1" ht="21" customHeight="1" x14ac:dyDescent="0.2"/>
    <row r="53" s="32" customFormat="1" ht="21" customHeight="1" x14ac:dyDescent="0.2"/>
    <row r="54" s="32" customFormat="1" ht="21" customHeight="1" x14ac:dyDescent="0.2"/>
    <row r="55" s="32" customFormat="1" ht="21" customHeight="1" x14ac:dyDescent="0.2"/>
    <row r="56" s="32" customFormat="1" ht="21" customHeight="1" x14ac:dyDescent="0.2"/>
    <row r="57" s="32" customFormat="1" ht="21" customHeight="1" x14ac:dyDescent="0.2"/>
    <row r="58" s="32" customFormat="1" ht="21" customHeight="1" x14ac:dyDescent="0.2"/>
    <row r="59" s="32" customFormat="1" ht="21" customHeight="1" x14ac:dyDescent="0.2"/>
    <row r="60" s="32" customFormat="1" ht="21" customHeight="1" x14ac:dyDescent="0.2"/>
    <row r="61" s="32" customFormat="1" ht="21" customHeight="1" x14ac:dyDescent="0.2"/>
    <row r="62" s="32" customFormat="1" ht="21" customHeight="1" x14ac:dyDescent="0.2"/>
    <row r="63" s="32" customFormat="1" ht="21" customHeight="1" x14ac:dyDescent="0.2"/>
    <row r="64" s="32" customFormat="1" ht="21" customHeight="1" x14ac:dyDescent="0.2"/>
    <row r="65" s="32" customFormat="1" ht="21" customHeight="1" x14ac:dyDescent="0.2"/>
    <row r="66" s="32" customFormat="1" ht="21" customHeight="1" x14ac:dyDescent="0.2"/>
    <row r="67" s="32" customFormat="1" ht="21" customHeight="1" x14ac:dyDescent="0.2"/>
    <row r="68" s="32" customFormat="1" ht="21" customHeight="1" x14ac:dyDescent="0.2"/>
    <row r="69" s="32" customFormat="1" ht="21" customHeight="1" x14ac:dyDescent="0.2"/>
    <row r="70" s="32" customFormat="1" ht="21" customHeight="1" x14ac:dyDescent="0.2"/>
    <row r="71" s="32" customFormat="1" ht="21" customHeight="1" x14ac:dyDescent="0.2"/>
    <row r="72" s="32" customFormat="1" ht="21" customHeight="1" x14ac:dyDescent="0.2"/>
    <row r="73" s="32" customFormat="1" ht="21" customHeight="1" x14ac:dyDescent="0.2"/>
    <row r="74" s="32" customFormat="1" ht="21" customHeight="1" x14ac:dyDescent="0.2"/>
    <row r="75" s="32" customFormat="1" ht="21" customHeight="1" x14ac:dyDescent="0.2"/>
    <row r="76" s="32" customFormat="1" ht="21" customHeight="1" x14ac:dyDescent="0.2"/>
    <row r="77" s="32" customFormat="1" ht="21" customHeight="1" x14ac:dyDescent="0.2"/>
    <row r="78" s="32" customFormat="1" ht="21" customHeight="1" x14ac:dyDescent="0.2"/>
    <row r="79" s="32" customFormat="1" ht="21" customHeight="1" x14ac:dyDescent="0.2"/>
    <row r="80" s="32" customFormat="1" ht="21" customHeight="1" x14ac:dyDescent="0.2"/>
    <row r="81" spans="2:7" s="32" customFormat="1" ht="21" customHeight="1" x14ac:dyDescent="0.2"/>
    <row r="82" spans="2:7" s="32" customFormat="1" ht="21" customHeight="1" x14ac:dyDescent="0.2"/>
    <row r="83" spans="2:7" s="32" customFormat="1" ht="21" customHeight="1" x14ac:dyDescent="0.2"/>
    <row r="84" spans="2:7" s="32" customFormat="1" ht="21" customHeight="1" x14ac:dyDescent="0.2"/>
    <row r="85" spans="2:7" s="32" customFormat="1" ht="21" customHeight="1" x14ac:dyDescent="0.2"/>
    <row r="86" spans="2:7" s="32" customFormat="1" ht="21" customHeight="1" x14ac:dyDescent="0.2"/>
    <row r="87" spans="2:7" s="32" customFormat="1" ht="21" customHeight="1" x14ac:dyDescent="0.2"/>
    <row r="88" spans="2:7" s="32" customFormat="1" ht="21" customHeight="1" x14ac:dyDescent="0.2"/>
    <row r="89" spans="2:7" s="32" customFormat="1" ht="21" customHeight="1" x14ac:dyDescent="0.2"/>
    <row r="90" spans="2:7" s="32" customFormat="1" ht="21" customHeight="1" x14ac:dyDescent="0.2"/>
    <row r="91" spans="2:7" s="32" customFormat="1" ht="21" customHeight="1" x14ac:dyDescent="0.2"/>
    <row r="92" spans="2:7" s="32" customFormat="1" ht="21" customHeight="1" x14ac:dyDescent="0.2"/>
    <row r="93" spans="2:7" s="32" customFormat="1" ht="14.25" customHeight="1" x14ac:dyDescent="0.2"/>
    <row r="94" spans="2:7" s="7" customFormat="1" ht="15" hidden="1" customHeight="1" x14ac:dyDescent="0.2">
      <c r="B94" s="7" t="s">
        <v>165</v>
      </c>
      <c r="C94" s="7" t="e">
        <f>#REF!</f>
        <v>#REF!</v>
      </c>
      <c r="D94" s="7" t="e">
        <f t="shared" ref="D94:F94" si="0">#REF!</f>
        <v>#REF!</v>
      </c>
      <c r="E94" s="7" t="e">
        <f t="shared" si="0"/>
        <v>#REF!</v>
      </c>
      <c r="F94" s="7" t="e">
        <f t="shared" si="0"/>
        <v>#REF!</v>
      </c>
      <c r="G94" s="16"/>
    </row>
    <row r="95" spans="2:7" s="6" customFormat="1" ht="15" hidden="1" customHeight="1" x14ac:dyDescent="0.2">
      <c r="B95" s="32">
        <f>A5</f>
        <v>0</v>
      </c>
      <c r="C95" s="20">
        <f>SUM(C6:C26)</f>
        <v>0</v>
      </c>
      <c r="D95" s="20">
        <f t="shared" ref="D95:F95" si="1">SUM(D6:D26)</f>
        <v>0</v>
      </c>
      <c r="E95" s="20">
        <f t="shared" si="1"/>
        <v>0</v>
      </c>
      <c r="F95" s="20">
        <f t="shared" si="1"/>
        <v>0</v>
      </c>
      <c r="G95" s="15"/>
    </row>
    <row r="96" spans="2:7" s="6" customFormat="1" ht="15" hidden="1" customHeight="1" x14ac:dyDescent="0.2">
      <c r="B96" s="32">
        <f>A27</f>
        <v>0</v>
      </c>
      <c r="C96" s="20">
        <f>SUM(C28:C47)</f>
        <v>0</v>
      </c>
      <c r="D96" s="20">
        <f t="shared" ref="D96:F96" si="2">SUM(D28:D47)</f>
        <v>0</v>
      </c>
      <c r="E96" s="20">
        <f t="shared" si="2"/>
        <v>0</v>
      </c>
      <c r="F96" s="20">
        <f t="shared" si="2"/>
        <v>0</v>
      </c>
      <c r="G96" s="15"/>
    </row>
    <row r="97" spans="2:7" s="6" customFormat="1" ht="15" hidden="1" customHeight="1" x14ac:dyDescent="0.2">
      <c r="B97" s="32">
        <f>A48</f>
        <v>0</v>
      </c>
      <c r="C97" s="20">
        <f>SUM(C49:C57)</f>
        <v>0</v>
      </c>
      <c r="D97" s="20">
        <f t="shared" ref="D97:F97" si="3">SUM(D49:D57)</f>
        <v>0</v>
      </c>
      <c r="E97" s="20">
        <f t="shared" si="3"/>
        <v>0</v>
      </c>
      <c r="F97" s="20">
        <f t="shared" si="3"/>
        <v>0</v>
      </c>
      <c r="G97" s="15"/>
    </row>
    <row r="98" spans="2:7" s="6" customFormat="1" ht="15" hidden="1" customHeight="1" x14ac:dyDescent="0.2">
      <c r="B98" s="32">
        <f>A58</f>
        <v>0</v>
      </c>
      <c r="C98" s="20">
        <f>SUM(C59:C66)</f>
        <v>0</v>
      </c>
      <c r="D98" s="20">
        <f t="shared" ref="D98:F98" si="4">SUM(D59:D66)</f>
        <v>0</v>
      </c>
      <c r="E98" s="20">
        <f t="shared" si="4"/>
        <v>0</v>
      </c>
      <c r="F98" s="20">
        <f t="shared" si="4"/>
        <v>0</v>
      </c>
      <c r="G98" s="15"/>
    </row>
    <row r="99" spans="2:7" s="6" customFormat="1" ht="15" hidden="1" customHeight="1" x14ac:dyDescent="0.2">
      <c r="B99" s="32">
        <f>A67</f>
        <v>0</v>
      </c>
      <c r="C99" s="20">
        <f>SUM(C68:C73)</f>
        <v>0</v>
      </c>
      <c r="D99" s="20">
        <f t="shared" ref="D99:F99" si="5">SUM(D68:D73)</f>
        <v>0</v>
      </c>
      <c r="E99" s="20">
        <f t="shared" si="5"/>
        <v>0</v>
      </c>
      <c r="F99" s="20">
        <f t="shared" si="5"/>
        <v>0</v>
      </c>
      <c r="G99" s="15"/>
    </row>
    <row r="100" spans="2:7" s="6" customFormat="1" ht="15" hidden="1" customHeight="1" x14ac:dyDescent="0.2">
      <c r="B100" s="44">
        <f>A74</f>
        <v>0</v>
      </c>
      <c r="C100" s="20">
        <f>SUM(C75:C79)</f>
        <v>0</v>
      </c>
      <c r="D100" s="20">
        <f t="shared" ref="D100:F100" si="6">SUM(D75:D79)</f>
        <v>0</v>
      </c>
      <c r="E100" s="20">
        <f t="shared" si="6"/>
        <v>0</v>
      </c>
      <c r="F100" s="20">
        <f t="shared" si="6"/>
        <v>0</v>
      </c>
      <c r="G100" s="15"/>
    </row>
    <row r="101" spans="2:7" s="6" customFormat="1" ht="15" hidden="1" customHeight="1" thickBot="1" x14ac:dyDescent="0.25">
      <c r="B101" s="44">
        <f>A80</f>
        <v>0</v>
      </c>
      <c r="C101" s="20">
        <f>SUM(C81:C92)</f>
        <v>0</v>
      </c>
      <c r="D101" s="20">
        <f t="shared" ref="D101:F101" si="7">SUM(D81:D92)</f>
        <v>0</v>
      </c>
      <c r="E101" s="20">
        <f t="shared" si="7"/>
        <v>0</v>
      </c>
      <c r="F101" s="20">
        <f t="shared" si="7"/>
        <v>0</v>
      </c>
      <c r="G101" s="15"/>
    </row>
    <row r="102" spans="2:7" s="45" customFormat="1" ht="15" hidden="1" customHeight="1" thickBot="1" x14ac:dyDescent="0.25">
      <c r="B102" s="46" t="s">
        <v>166</v>
      </c>
      <c r="C102" s="47">
        <f>SUM(C95:C99)</f>
        <v>0</v>
      </c>
      <c r="D102" s="47">
        <f t="shared" ref="D102:F102" si="8">SUM(D95:D99)</f>
        <v>0</v>
      </c>
      <c r="E102" s="47">
        <f t="shared" si="8"/>
        <v>0</v>
      </c>
      <c r="F102" s="47">
        <f t="shared" si="8"/>
        <v>0</v>
      </c>
      <c r="G102" s="49"/>
    </row>
    <row r="103" spans="2:7" s="6" customFormat="1" ht="15" hidden="1" x14ac:dyDescent="0.2">
      <c r="B103" s="8"/>
      <c r="G103" s="15"/>
    </row>
    <row r="104" spans="2:7" s="6" customFormat="1" ht="15" hidden="1" x14ac:dyDescent="0.2">
      <c r="B104" s="8"/>
      <c r="G104" s="15"/>
    </row>
    <row r="105" spans="2:7" s="7" customFormat="1" ht="15" hidden="1" customHeight="1" x14ac:dyDescent="0.2">
      <c r="B105" s="7" t="s">
        <v>167</v>
      </c>
      <c r="C105" s="7" t="e">
        <f t="shared" ref="C105:F105" si="9">C94</f>
        <v>#REF!</v>
      </c>
      <c r="D105" s="7" t="e">
        <f t="shared" si="9"/>
        <v>#REF!</v>
      </c>
      <c r="E105" s="7" t="e">
        <f t="shared" si="9"/>
        <v>#REF!</v>
      </c>
      <c r="F105" s="7" t="e">
        <f t="shared" si="9"/>
        <v>#REF!</v>
      </c>
      <c r="G105" s="16"/>
    </row>
    <row r="106" spans="2:7" s="6" customFormat="1" ht="15" hidden="1" customHeight="1" x14ac:dyDescent="0.2">
      <c r="B106" s="32">
        <f>B95</f>
        <v>0</v>
      </c>
      <c r="C106" s="21" t="e">
        <f>C95/#REF!</f>
        <v>#REF!</v>
      </c>
      <c r="D106" s="21" t="e">
        <f>D95/#REF!</f>
        <v>#REF!</v>
      </c>
      <c r="E106" s="21" t="e">
        <f>E95/#REF!</f>
        <v>#REF!</v>
      </c>
      <c r="F106" s="21" t="e">
        <f>F95/#REF!</f>
        <v>#REF!</v>
      </c>
      <c r="G106" s="15"/>
    </row>
    <row r="107" spans="2:7" s="6" customFormat="1" ht="15" hidden="1" customHeight="1" x14ac:dyDescent="0.2">
      <c r="B107" s="32">
        <f>B96</f>
        <v>0</v>
      </c>
      <c r="C107" s="21" t="e">
        <f>C96/#REF!</f>
        <v>#REF!</v>
      </c>
      <c r="D107" s="21" t="e">
        <f>D96/#REF!</f>
        <v>#REF!</v>
      </c>
      <c r="E107" s="21" t="e">
        <f>E96/#REF!</f>
        <v>#REF!</v>
      </c>
      <c r="F107" s="21" t="e">
        <f>F96/#REF!</f>
        <v>#REF!</v>
      </c>
      <c r="G107" s="15"/>
    </row>
    <row r="108" spans="2:7" s="6" customFormat="1" ht="15" hidden="1" customHeight="1" x14ac:dyDescent="0.2">
      <c r="B108" s="32">
        <f>B97</f>
        <v>0</v>
      </c>
      <c r="C108" s="21" t="e">
        <f>C97/#REF!</f>
        <v>#REF!</v>
      </c>
      <c r="D108" s="21" t="e">
        <f>D97/#REF!</f>
        <v>#REF!</v>
      </c>
      <c r="E108" s="21" t="e">
        <f>E97/#REF!</f>
        <v>#REF!</v>
      </c>
      <c r="F108" s="21" t="e">
        <f>F97/#REF!</f>
        <v>#REF!</v>
      </c>
      <c r="G108" s="15"/>
    </row>
    <row r="109" spans="2:7" s="6" customFormat="1" ht="15" hidden="1" customHeight="1" x14ac:dyDescent="0.2">
      <c r="B109" s="32">
        <f>B98</f>
        <v>0</v>
      </c>
      <c r="C109" s="21" t="e">
        <f>C98/#REF!</f>
        <v>#REF!</v>
      </c>
      <c r="D109" s="21" t="e">
        <f>D98/#REF!</f>
        <v>#REF!</v>
      </c>
      <c r="E109" s="21" t="e">
        <f>E98/#REF!</f>
        <v>#REF!</v>
      </c>
      <c r="F109" s="21" t="e">
        <f>F98/#REF!</f>
        <v>#REF!</v>
      </c>
      <c r="G109" s="15"/>
    </row>
    <row r="110" spans="2:7" s="6" customFormat="1" ht="15" hidden="1" customHeight="1" x14ac:dyDescent="0.2">
      <c r="B110" s="32">
        <f>B99</f>
        <v>0</v>
      </c>
      <c r="C110" s="21" t="e">
        <f>C99/#REF!</f>
        <v>#REF!</v>
      </c>
      <c r="D110" s="21" t="e">
        <f>D99/#REF!</f>
        <v>#REF!</v>
      </c>
      <c r="E110" s="21" t="e">
        <f>E99/#REF!</f>
        <v>#REF!</v>
      </c>
      <c r="F110" s="21" t="e">
        <f>F99/#REF!</f>
        <v>#REF!</v>
      </c>
      <c r="G110" s="15"/>
    </row>
    <row r="111" spans="2:7" s="6" customFormat="1" ht="15" hidden="1" customHeight="1" x14ac:dyDescent="0.2">
      <c r="B111" s="32">
        <f t="shared" ref="B111:B112" si="10">B100</f>
        <v>0</v>
      </c>
      <c r="C111" s="21" t="e">
        <f>C100/#REF!</f>
        <v>#REF!</v>
      </c>
      <c r="D111" s="21" t="e">
        <f>D100/#REF!</f>
        <v>#REF!</v>
      </c>
      <c r="E111" s="21" t="e">
        <f>E100/#REF!</f>
        <v>#REF!</v>
      </c>
      <c r="F111" s="21" t="e">
        <f>F100/#REF!</f>
        <v>#REF!</v>
      </c>
      <c r="G111" s="15"/>
    </row>
    <row r="112" spans="2:7" s="6" customFormat="1" ht="15" hidden="1" customHeight="1" thickBot="1" x14ac:dyDescent="0.25">
      <c r="B112" s="32">
        <f t="shared" si="10"/>
        <v>0</v>
      </c>
      <c r="C112" s="21" t="e">
        <f>C101/#REF!</f>
        <v>#REF!</v>
      </c>
      <c r="D112" s="21" t="e">
        <f>D101/#REF!</f>
        <v>#REF!</v>
      </c>
      <c r="E112" s="21" t="e">
        <f>E101/#REF!</f>
        <v>#REF!</v>
      </c>
      <c r="F112" s="21" t="e">
        <f>F101/#REF!</f>
        <v>#REF!</v>
      </c>
      <c r="G112" s="15"/>
    </row>
    <row r="113" spans="2:7" s="45" customFormat="1" ht="15" hidden="1" customHeight="1" thickBot="1" x14ac:dyDescent="0.25">
      <c r="B113" s="50" t="s">
        <v>166</v>
      </c>
      <c r="C113" s="21" t="e">
        <f>C102/#REF!</f>
        <v>#REF!</v>
      </c>
      <c r="D113" s="21" t="e">
        <f>D102/#REF!</f>
        <v>#REF!</v>
      </c>
      <c r="E113" s="21" t="e">
        <f>E102/#REF!</f>
        <v>#REF!</v>
      </c>
      <c r="F113" s="21" t="e">
        <f>F102/#REF!</f>
        <v>#REF!</v>
      </c>
      <c r="G113" s="49"/>
    </row>
  </sheetData>
  <sheetProtection formatCells="0" formatColumns="0" formatRows="0" insertColumns="0" insertRows="0" insertHyperlinks="0" deleteColumns="0" deleteRows="0" selectLockedCells="1" sort="0" autoFilter="0" pivotTables="0"/>
  <dataConsolidate/>
  <pageMargins left="0.7" right="0.7" top="0.75" bottom="0.75" header="0.3" footer="0.3"/>
  <pageSetup scale="78" fitToHeight="0" orientation="portrait" horizontalDpi="300" verticalDpi="300"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800-000000000000}">
          <x14:formula1>
            <xm:f>'CoBIT maturity key'!$B$4:$B$9</xm:f>
          </x14:formula1>
          <xm:sqref>C6:F92</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FF00"/>
    <pageSetUpPr fitToPage="1"/>
  </sheetPr>
  <dimension ref="A1:G60"/>
  <sheetViews>
    <sheetView zoomScale="115" zoomScaleNormal="115" zoomScalePageLayoutView="125" workbookViewId="0">
      <pane ySplit="3" topLeftCell="A4" activePane="bottomLeft" state="frozen"/>
      <selection pane="bottomLeft" activeCell="B21" sqref="B21"/>
    </sheetView>
  </sheetViews>
  <sheetFormatPr baseColWidth="10" defaultColWidth="8.83203125" defaultRowHeight="15" x14ac:dyDescent="0.2"/>
  <cols>
    <col min="1" max="1" width="6.83203125" style="67" customWidth="1"/>
    <col min="2" max="2" width="103.1640625" style="71" customWidth="1"/>
    <col min="3" max="3" width="60" style="67" bestFit="1" customWidth="1"/>
    <col min="4" max="4" width="8.83203125" style="67"/>
    <col min="5" max="5" width="11.1640625" style="67" bestFit="1" customWidth="1"/>
    <col min="6" max="16384" width="8.83203125" style="67"/>
  </cols>
  <sheetData>
    <row r="1" spans="1:7" s="61" customFormat="1" ht="24.75" customHeight="1" x14ac:dyDescent="0.2">
      <c r="A1" s="39"/>
      <c r="B1" s="60"/>
    </row>
    <row r="2" spans="1:7" s="62" customFormat="1" ht="22.5" customHeight="1" x14ac:dyDescent="0.2">
      <c r="A2" s="62" t="s">
        <v>789</v>
      </c>
      <c r="F2" s="63"/>
      <c r="G2" s="63"/>
    </row>
    <row r="3" spans="1:7" s="64" customFormat="1" ht="22" customHeight="1" x14ac:dyDescent="0.2">
      <c r="A3" s="111" t="s">
        <v>71</v>
      </c>
      <c r="B3" s="111" t="s">
        <v>72</v>
      </c>
      <c r="C3" s="64" t="s">
        <v>14</v>
      </c>
    </row>
    <row r="4" spans="1:7" s="171" customFormat="1" ht="22" customHeight="1" x14ac:dyDescent="0.2">
      <c r="A4" s="170" t="s">
        <v>790</v>
      </c>
      <c r="B4" s="170"/>
    </row>
    <row r="5" spans="1:7" s="40" customFormat="1" ht="22" customHeight="1" x14ac:dyDescent="0.2">
      <c r="B5" s="40" t="s">
        <v>791</v>
      </c>
    </row>
    <row r="6" spans="1:7" s="40" customFormat="1" ht="22" customHeight="1" x14ac:dyDescent="0.2">
      <c r="B6" s="40" t="s">
        <v>792</v>
      </c>
    </row>
    <row r="7" spans="1:7" s="40" customFormat="1" ht="22" customHeight="1" x14ac:dyDescent="0.2">
      <c r="B7" s="40" t="s">
        <v>793</v>
      </c>
    </row>
    <row r="8" spans="1:7" s="40" customFormat="1" ht="22" customHeight="1" x14ac:dyDescent="0.2">
      <c r="B8" s="40" t="s">
        <v>794</v>
      </c>
    </row>
    <row r="9" spans="1:7" s="40" customFormat="1" ht="22" customHeight="1" x14ac:dyDescent="0.2">
      <c r="B9" s="40" t="s">
        <v>795</v>
      </c>
    </row>
    <row r="10" spans="1:7" s="171" customFormat="1" ht="22" customHeight="1" x14ac:dyDescent="0.2">
      <c r="A10" s="170" t="s">
        <v>796</v>
      </c>
      <c r="B10" s="170"/>
    </row>
    <row r="11" spans="1:7" s="40" customFormat="1" ht="22" customHeight="1" x14ac:dyDescent="0.2">
      <c r="B11" s="40" t="s">
        <v>797</v>
      </c>
    </row>
    <row r="12" spans="1:7" s="40" customFormat="1" ht="22" customHeight="1" x14ac:dyDescent="0.2">
      <c r="B12" s="40" t="s">
        <v>798</v>
      </c>
    </row>
    <row r="13" spans="1:7" s="40" customFormat="1" ht="22" customHeight="1" x14ac:dyDescent="0.2">
      <c r="B13" s="40" t="s">
        <v>799</v>
      </c>
    </row>
    <row r="14" spans="1:7" s="171" customFormat="1" ht="22" customHeight="1" x14ac:dyDescent="0.2">
      <c r="A14" s="170" t="s">
        <v>800</v>
      </c>
      <c r="B14" s="170"/>
    </row>
    <row r="15" spans="1:7" s="40" customFormat="1" ht="22" customHeight="1" x14ac:dyDescent="0.2">
      <c r="B15" s="40" t="s">
        <v>801</v>
      </c>
    </row>
    <row r="16" spans="1:7" s="40" customFormat="1" ht="22" customHeight="1" x14ac:dyDescent="0.2">
      <c r="B16" s="40" t="s">
        <v>802</v>
      </c>
    </row>
    <row r="17" spans="1:6" s="40" customFormat="1" ht="22" customHeight="1" x14ac:dyDescent="0.2">
      <c r="B17" s="40" t="s">
        <v>803</v>
      </c>
    </row>
    <row r="18" spans="1:6" s="40" customFormat="1" ht="22" customHeight="1" x14ac:dyDescent="0.2">
      <c r="B18" s="40" t="s">
        <v>804</v>
      </c>
    </row>
    <row r="19" spans="1:6" s="40" customFormat="1" ht="22" customHeight="1" x14ac:dyDescent="0.2"/>
    <row r="20" spans="1:6" s="40" customFormat="1" ht="22" customHeight="1" x14ac:dyDescent="0.2"/>
    <row r="21" spans="1:6" s="40" customFormat="1" ht="22" customHeight="1" x14ac:dyDescent="0.2"/>
    <row r="22" spans="1:6" s="40" customFormat="1" ht="22" customHeight="1" x14ac:dyDescent="0.2"/>
    <row r="23" spans="1:6" ht="22" customHeight="1" x14ac:dyDescent="0.2">
      <c r="A23" s="39"/>
      <c r="B23" s="32"/>
      <c r="C23" s="40"/>
      <c r="D23" s="40"/>
      <c r="E23" s="40"/>
      <c r="F23" s="40"/>
    </row>
    <row r="24" spans="1:6" s="40" customFormat="1" ht="22" customHeight="1" x14ac:dyDescent="0.2"/>
    <row r="25" spans="1:6" ht="22" customHeight="1" x14ac:dyDescent="0.2">
      <c r="A25" s="39"/>
      <c r="B25" s="32"/>
      <c r="C25" s="40"/>
      <c r="D25" s="40"/>
      <c r="E25" s="40"/>
      <c r="F25" s="40"/>
    </row>
    <row r="26" spans="1:6" s="40" customFormat="1" ht="22" customHeight="1" x14ac:dyDescent="0.2"/>
    <row r="27" spans="1:6" ht="22" customHeight="1" x14ac:dyDescent="0.2">
      <c r="A27" s="39"/>
      <c r="B27" s="32"/>
      <c r="C27" s="40"/>
      <c r="D27" s="40"/>
      <c r="E27" s="40"/>
      <c r="F27" s="40"/>
    </row>
    <row r="28" spans="1:6" x14ac:dyDescent="0.2">
      <c r="C28" s="40"/>
      <c r="D28" s="40"/>
      <c r="E28" s="40"/>
      <c r="F28" s="40"/>
    </row>
    <row r="29" spans="1:6" x14ac:dyDescent="0.2">
      <c r="C29" s="40"/>
      <c r="D29" s="40"/>
      <c r="E29" s="40"/>
      <c r="F29" s="40"/>
    </row>
    <row r="30" spans="1:6" x14ac:dyDescent="0.2">
      <c r="C30" s="40"/>
      <c r="D30" s="40"/>
      <c r="E30" s="40"/>
      <c r="F30" s="40"/>
    </row>
    <row r="31" spans="1:6" x14ac:dyDescent="0.2">
      <c r="C31" s="40"/>
      <c r="D31" s="40"/>
      <c r="E31" s="40"/>
      <c r="F31" s="40"/>
    </row>
    <row r="32" spans="1:6" x14ac:dyDescent="0.2">
      <c r="C32" s="40"/>
      <c r="D32" s="40"/>
      <c r="E32" s="40"/>
      <c r="F32" s="40"/>
    </row>
    <row r="33" spans="3:6" x14ac:dyDescent="0.2">
      <c r="C33" s="40"/>
      <c r="D33" s="40"/>
      <c r="E33" s="40"/>
      <c r="F33" s="40"/>
    </row>
    <row r="34" spans="3:6" x14ac:dyDescent="0.2">
      <c r="C34" s="40"/>
      <c r="D34" s="40"/>
      <c r="E34" s="40"/>
      <c r="F34" s="40"/>
    </row>
    <row r="35" spans="3:6" x14ac:dyDescent="0.2">
      <c r="C35" s="40"/>
      <c r="D35" s="40"/>
      <c r="E35" s="40"/>
      <c r="F35" s="40"/>
    </row>
    <row r="36" spans="3:6" x14ac:dyDescent="0.2">
      <c r="C36" s="40"/>
      <c r="D36" s="40"/>
      <c r="E36" s="40"/>
      <c r="F36" s="40"/>
    </row>
    <row r="37" spans="3:6" x14ac:dyDescent="0.2">
      <c r="C37" s="40"/>
      <c r="D37" s="40"/>
      <c r="E37" s="40"/>
      <c r="F37" s="40"/>
    </row>
    <row r="38" spans="3:6" x14ac:dyDescent="0.2">
      <c r="C38" s="40"/>
      <c r="D38" s="40"/>
      <c r="E38" s="40"/>
      <c r="F38" s="40"/>
    </row>
    <row r="39" spans="3:6" x14ac:dyDescent="0.2">
      <c r="C39" s="40"/>
      <c r="D39" s="40"/>
      <c r="E39" s="40"/>
      <c r="F39" s="40"/>
    </row>
    <row r="40" spans="3:6" x14ac:dyDescent="0.2">
      <c r="C40" s="40"/>
      <c r="D40" s="40"/>
      <c r="E40" s="40"/>
      <c r="F40" s="40"/>
    </row>
    <row r="41" spans="3:6" x14ac:dyDescent="0.2">
      <c r="C41" s="40"/>
      <c r="D41" s="40"/>
      <c r="E41" s="40"/>
      <c r="F41" s="40"/>
    </row>
    <row r="42" spans="3:6" x14ac:dyDescent="0.2">
      <c r="C42" s="40"/>
      <c r="D42" s="40"/>
      <c r="E42" s="40"/>
      <c r="F42" s="40"/>
    </row>
    <row r="43" spans="3:6" x14ac:dyDescent="0.2">
      <c r="C43" s="40"/>
      <c r="D43" s="40"/>
      <c r="E43" s="40"/>
      <c r="F43" s="40"/>
    </row>
    <row r="44" spans="3:6" x14ac:dyDescent="0.2">
      <c r="C44" s="40"/>
      <c r="D44" s="40"/>
      <c r="E44" s="40"/>
      <c r="F44" s="40"/>
    </row>
    <row r="45" spans="3:6" x14ac:dyDescent="0.2">
      <c r="C45" s="40"/>
      <c r="D45" s="40"/>
      <c r="E45" s="40"/>
      <c r="F45" s="40"/>
    </row>
    <row r="46" spans="3:6" x14ac:dyDescent="0.2">
      <c r="C46" s="40"/>
      <c r="D46" s="40"/>
      <c r="E46" s="40"/>
      <c r="F46" s="40"/>
    </row>
    <row r="47" spans="3:6" x14ac:dyDescent="0.2">
      <c r="C47" s="40"/>
      <c r="D47" s="40"/>
      <c r="E47" s="40"/>
      <c r="F47" s="40"/>
    </row>
    <row r="48" spans="3:6" x14ac:dyDescent="0.2">
      <c r="C48" s="40"/>
      <c r="D48" s="40"/>
      <c r="E48" s="40"/>
      <c r="F48" s="40"/>
    </row>
    <row r="49" spans="3:6" x14ac:dyDescent="0.2">
      <c r="C49" s="40"/>
      <c r="D49" s="40"/>
      <c r="E49" s="40"/>
      <c r="F49" s="40"/>
    </row>
    <row r="50" spans="3:6" x14ac:dyDescent="0.2">
      <c r="C50" s="40"/>
      <c r="D50" s="40"/>
      <c r="E50" s="40"/>
      <c r="F50" s="40"/>
    </row>
    <row r="51" spans="3:6" x14ac:dyDescent="0.2">
      <c r="C51" s="40"/>
      <c r="D51" s="40"/>
      <c r="E51" s="40"/>
      <c r="F51" s="40"/>
    </row>
    <row r="52" spans="3:6" x14ac:dyDescent="0.2">
      <c r="C52" s="40"/>
      <c r="D52" s="40"/>
      <c r="E52" s="40"/>
      <c r="F52" s="40"/>
    </row>
    <row r="53" spans="3:6" x14ac:dyDescent="0.2">
      <c r="C53" s="40"/>
      <c r="D53" s="40"/>
      <c r="E53" s="40"/>
      <c r="F53" s="40"/>
    </row>
    <row r="54" spans="3:6" x14ac:dyDescent="0.2">
      <c r="C54" s="40"/>
      <c r="D54" s="40"/>
      <c r="E54" s="40"/>
      <c r="F54" s="40"/>
    </row>
    <row r="55" spans="3:6" x14ac:dyDescent="0.2">
      <c r="C55" s="40"/>
      <c r="D55" s="40"/>
      <c r="E55" s="40"/>
      <c r="F55" s="40"/>
    </row>
    <row r="56" spans="3:6" x14ac:dyDescent="0.2">
      <c r="C56" s="40"/>
      <c r="D56" s="40"/>
      <c r="E56" s="40"/>
      <c r="F56" s="40"/>
    </row>
    <row r="57" spans="3:6" x14ac:dyDescent="0.2">
      <c r="C57" s="40"/>
      <c r="D57" s="40"/>
      <c r="E57" s="40"/>
      <c r="F57" s="40"/>
    </row>
    <row r="58" spans="3:6" x14ac:dyDescent="0.2">
      <c r="C58" s="40"/>
      <c r="D58" s="40"/>
      <c r="E58" s="40"/>
      <c r="F58" s="40"/>
    </row>
    <row r="59" spans="3:6" x14ac:dyDescent="0.2">
      <c r="C59" s="40"/>
      <c r="D59" s="40"/>
      <c r="E59" s="40"/>
      <c r="F59" s="40"/>
    </row>
    <row r="60" spans="3:6" x14ac:dyDescent="0.2">
      <c r="C60" s="40"/>
      <c r="D60" s="40"/>
      <c r="E60" s="40"/>
      <c r="F60" s="40"/>
    </row>
  </sheetData>
  <sheetProtection formatCells="0" formatColumns="0" formatRows="0" insertColumns="0" insertRows="0" insertHyperlinks="0" deleteColumns="0" deleteRows="0" selectLockedCells="1" sort="0" autoFilter="0" pivotTables="0"/>
  <pageMargins left="0.7" right="0.7" top="0.75" bottom="0.75" header="0.3" footer="0.3"/>
  <pageSetup scale="91" fitToHeight="0" orientation="portrait" horizontalDpi="300" verticalDpi="300"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F0"/>
    <pageSetUpPr fitToPage="1"/>
  </sheetPr>
  <dimension ref="A1:R113"/>
  <sheetViews>
    <sheetView zoomScale="115" zoomScaleNormal="115" zoomScalePageLayoutView="125" workbookViewId="0">
      <pane ySplit="3" topLeftCell="A10" activePane="bottomLeft" state="frozen"/>
      <selection pane="bottomLeft" activeCell="C11" sqref="C11"/>
    </sheetView>
  </sheetViews>
  <sheetFormatPr baseColWidth="10" defaultColWidth="8.83203125" defaultRowHeight="14.25" customHeight="1" x14ac:dyDescent="0.2"/>
  <cols>
    <col min="1" max="1" width="7.1640625" style="109" customWidth="1"/>
    <col min="2" max="2" width="75.5" style="110" customWidth="1"/>
    <col min="3" max="3" width="20.1640625" style="10" customWidth="1"/>
    <col min="4" max="4" width="13.5" style="11" hidden="1" customWidth="1"/>
    <col min="5" max="5" width="13.5" style="12" hidden="1" customWidth="1"/>
    <col min="6" max="6" width="12" style="13" hidden="1" customWidth="1"/>
    <col min="7" max="9" width="13.5" style="13" hidden="1" customWidth="1"/>
    <col min="10" max="10" width="56" style="9" customWidth="1"/>
    <col min="11" max="11" width="8.83203125" style="5"/>
    <col min="12" max="12" width="11.1640625" style="5" bestFit="1" customWidth="1"/>
    <col min="13" max="16384" width="8.83203125" style="5"/>
  </cols>
  <sheetData>
    <row r="1" spans="1:11" s="25" customFormat="1" ht="29.25" customHeight="1" x14ac:dyDescent="0.2">
      <c r="A1" s="23"/>
      <c r="B1" s="182"/>
    </row>
    <row r="2" spans="1:11" s="30" customFormat="1" ht="22.5" customHeight="1" x14ac:dyDescent="0.2">
      <c r="A2" s="173" t="s">
        <v>177</v>
      </c>
      <c r="B2" s="173"/>
      <c r="J2" s="31"/>
      <c r="K2" s="31"/>
    </row>
    <row r="3" spans="1:11" s="26" customFormat="1" ht="16.5" customHeight="1" x14ac:dyDescent="0.2">
      <c r="A3" s="174" t="s">
        <v>71</v>
      </c>
      <c r="B3" s="174" t="s">
        <v>72</v>
      </c>
      <c r="C3" s="27" t="s">
        <v>73</v>
      </c>
      <c r="D3" s="27" t="s">
        <v>4</v>
      </c>
      <c r="E3" s="27" t="s">
        <v>5</v>
      </c>
      <c r="F3" s="27" t="s">
        <v>74</v>
      </c>
      <c r="G3" s="27" t="s">
        <v>4</v>
      </c>
      <c r="H3" s="27" t="s">
        <v>5</v>
      </c>
      <c r="I3" s="27" t="s">
        <v>74</v>
      </c>
      <c r="J3" s="26" t="s">
        <v>75</v>
      </c>
    </row>
    <row r="4" spans="1:11" s="29" customFormat="1" ht="21" customHeight="1" x14ac:dyDescent="0.2">
      <c r="A4" s="28" t="s">
        <v>178</v>
      </c>
      <c r="B4" s="28"/>
    </row>
    <row r="5" spans="1:11" s="32" customFormat="1" ht="21" customHeight="1" x14ac:dyDescent="0.2">
      <c r="A5" s="32" t="s">
        <v>179</v>
      </c>
      <c r="B5" s="194" t="s">
        <v>180</v>
      </c>
      <c r="C5" s="197" t="s">
        <v>98</v>
      </c>
      <c r="D5" s="196"/>
      <c r="E5" s="54"/>
      <c r="F5" s="54"/>
      <c r="G5" s="54"/>
      <c r="H5" s="54">
        <v>4</v>
      </c>
      <c r="I5" s="54">
        <v>5</v>
      </c>
      <c r="J5" s="117" t="s">
        <v>181</v>
      </c>
    </row>
    <row r="6" spans="1:11" s="35" customFormat="1" ht="21" customHeight="1" x14ac:dyDescent="0.2">
      <c r="A6" s="35" t="s">
        <v>182</v>
      </c>
      <c r="B6" s="195" t="s">
        <v>183</v>
      </c>
      <c r="C6" s="197" t="s">
        <v>98</v>
      </c>
      <c r="D6" s="196"/>
      <c r="E6" s="54"/>
      <c r="F6" s="54"/>
      <c r="G6" s="54"/>
      <c r="H6" s="54">
        <v>4</v>
      </c>
      <c r="I6" s="54">
        <v>5</v>
      </c>
      <c r="J6" s="112"/>
    </row>
    <row r="7" spans="1:11" s="32" customFormat="1" ht="21" customHeight="1" x14ac:dyDescent="0.2">
      <c r="A7" s="32" t="s">
        <v>184</v>
      </c>
      <c r="B7" s="194" t="s">
        <v>185</v>
      </c>
      <c r="C7" s="197" t="s">
        <v>98</v>
      </c>
      <c r="D7" s="196"/>
      <c r="E7" s="54"/>
      <c r="F7" s="54"/>
      <c r="G7" s="54"/>
      <c r="H7" s="54">
        <v>4</v>
      </c>
      <c r="I7" s="54">
        <v>5</v>
      </c>
      <c r="J7" s="114"/>
    </row>
    <row r="8" spans="1:11" s="35" customFormat="1" ht="21" customHeight="1" x14ac:dyDescent="0.2">
      <c r="A8" s="35" t="s">
        <v>186</v>
      </c>
      <c r="B8" s="195" t="s">
        <v>187</v>
      </c>
      <c r="C8" s="197" t="s">
        <v>98</v>
      </c>
      <c r="D8" s="196"/>
      <c r="E8" s="54"/>
      <c r="F8" s="54"/>
      <c r="G8" s="54"/>
      <c r="H8" s="54">
        <v>4</v>
      </c>
      <c r="I8" s="54">
        <v>5</v>
      </c>
      <c r="J8" s="112"/>
    </row>
    <row r="9" spans="1:11" s="32" customFormat="1" ht="21" customHeight="1" x14ac:dyDescent="0.2">
      <c r="A9" s="32" t="s">
        <v>188</v>
      </c>
      <c r="B9" s="194" t="s">
        <v>189</v>
      </c>
      <c r="C9" s="197" t="s">
        <v>98</v>
      </c>
      <c r="D9" s="196"/>
      <c r="E9" s="54"/>
      <c r="F9" s="54"/>
      <c r="G9" s="54"/>
      <c r="H9" s="54">
        <v>4</v>
      </c>
      <c r="I9" s="54">
        <v>5</v>
      </c>
      <c r="J9" s="114"/>
    </row>
    <row r="10" spans="1:11" s="35" customFormat="1" ht="21" customHeight="1" x14ac:dyDescent="0.2">
      <c r="A10" s="35" t="s">
        <v>190</v>
      </c>
      <c r="B10" s="195" t="s">
        <v>191</v>
      </c>
      <c r="C10" s="197" t="s">
        <v>373</v>
      </c>
      <c r="D10" s="196"/>
      <c r="E10" s="54"/>
      <c r="F10" s="54"/>
      <c r="G10" s="54"/>
      <c r="H10" s="54">
        <v>4</v>
      </c>
      <c r="I10" s="54">
        <v>5</v>
      </c>
      <c r="J10" s="112"/>
    </row>
    <row r="11" spans="1:11" s="32" customFormat="1" ht="21" customHeight="1" x14ac:dyDescent="0.2">
      <c r="A11" s="32" t="s">
        <v>192</v>
      </c>
      <c r="B11" s="194" t="s">
        <v>193</v>
      </c>
      <c r="C11" s="197" t="s">
        <v>367</v>
      </c>
      <c r="D11" s="196"/>
      <c r="E11" s="54"/>
      <c r="F11" s="54"/>
      <c r="G11" s="54"/>
      <c r="H11" s="54">
        <v>4</v>
      </c>
      <c r="I11" s="54">
        <v>5</v>
      </c>
      <c r="J11" s="114"/>
    </row>
    <row r="12" spans="1:11" s="35" customFormat="1" ht="21" customHeight="1" x14ac:dyDescent="0.2">
      <c r="A12" s="35" t="s">
        <v>194</v>
      </c>
      <c r="B12" s="195" t="s">
        <v>195</v>
      </c>
      <c r="C12" s="197" t="s">
        <v>98</v>
      </c>
      <c r="D12" s="196"/>
      <c r="E12" s="54"/>
      <c r="F12" s="54"/>
      <c r="G12" s="54"/>
      <c r="H12" s="54">
        <v>4</v>
      </c>
      <c r="I12" s="54">
        <v>5</v>
      </c>
      <c r="J12" s="112"/>
    </row>
    <row r="13" spans="1:11" s="32" customFormat="1" ht="21" customHeight="1" x14ac:dyDescent="0.2">
      <c r="A13" s="32" t="s">
        <v>196</v>
      </c>
      <c r="B13" s="194" t="s">
        <v>197</v>
      </c>
      <c r="C13" s="197"/>
      <c r="D13" s="196"/>
      <c r="E13" s="54"/>
      <c r="F13" s="54"/>
      <c r="G13" s="54"/>
      <c r="H13" s="54">
        <v>4</v>
      </c>
      <c r="I13" s="54">
        <v>5</v>
      </c>
      <c r="J13" s="114"/>
    </row>
    <row r="14" spans="1:11" s="35" customFormat="1" ht="21" customHeight="1" x14ac:dyDescent="0.2">
      <c r="A14" s="35" t="s">
        <v>198</v>
      </c>
      <c r="B14" s="195" t="s">
        <v>199</v>
      </c>
      <c r="C14" s="197"/>
      <c r="D14" s="196"/>
      <c r="E14" s="54"/>
      <c r="F14" s="54"/>
      <c r="G14" s="54"/>
      <c r="H14" s="54">
        <v>4</v>
      </c>
      <c r="I14" s="54">
        <v>5</v>
      </c>
      <c r="J14" s="112"/>
    </row>
    <row r="15" spans="1:11" s="32" customFormat="1" ht="21" customHeight="1" x14ac:dyDescent="0.2">
      <c r="A15" s="32" t="s">
        <v>200</v>
      </c>
      <c r="B15" s="194" t="s">
        <v>201</v>
      </c>
      <c r="C15" s="197" t="s">
        <v>98</v>
      </c>
      <c r="D15" s="196"/>
      <c r="E15" s="54"/>
      <c r="F15" s="54"/>
      <c r="G15" s="54"/>
      <c r="H15" s="54">
        <v>4</v>
      </c>
      <c r="I15" s="54">
        <v>5</v>
      </c>
      <c r="J15" s="114"/>
    </row>
    <row r="16" spans="1:11" s="35" customFormat="1" ht="21" customHeight="1" x14ac:dyDescent="0.2">
      <c r="A16" s="35" t="s">
        <v>202</v>
      </c>
      <c r="B16" s="195" t="s">
        <v>203</v>
      </c>
      <c r="C16" s="197" t="s">
        <v>98</v>
      </c>
      <c r="D16" s="196"/>
      <c r="E16" s="54"/>
      <c r="F16" s="54"/>
      <c r="G16" s="54"/>
      <c r="H16" s="54">
        <v>4</v>
      </c>
      <c r="I16" s="54">
        <v>5</v>
      </c>
      <c r="J16" s="112"/>
    </row>
    <row r="17" spans="1:18" s="32" customFormat="1" ht="21" customHeight="1" x14ac:dyDescent="0.2">
      <c r="A17" s="32" t="s">
        <v>204</v>
      </c>
      <c r="B17" s="194" t="s">
        <v>205</v>
      </c>
      <c r="C17" s="197" t="s">
        <v>98</v>
      </c>
      <c r="D17" s="196"/>
      <c r="E17" s="54"/>
      <c r="F17" s="54"/>
      <c r="G17" s="54"/>
      <c r="H17" s="54">
        <v>4</v>
      </c>
      <c r="I17" s="54">
        <v>5</v>
      </c>
      <c r="J17" s="114"/>
    </row>
    <row r="18" spans="1:18" s="35" customFormat="1" ht="21" customHeight="1" x14ac:dyDescent="0.2">
      <c r="A18" s="35" t="s">
        <v>206</v>
      </c>
      <c r="B18" s="195" t="s">
        <v>207</v>
      </c>
      <c r="C18" s="197" t="s">
        <v>98</v>
      </c>
      <c r="D18" s="196"/>
      <c r="E18" s="54"/>
      <c r="F18" s="54"/>
      <c r="G18" s="54"/>
      <c r="H18" s="54">
        <v>4</v>
      </c>
      <c r="I18" s="54">
        <v>5</v>
      </c>
      <c r="J18" s="112"/>
    </row>
    <row r="19" spans="1:18" s="32" customFormat="1" ht="21" customHeight="1" x14ac:dyDescent="0.2">
      <c r="A19" s="32" t="s">
        <v>208</v>
      </c>
      <c r="B19" s="194" t="s">
        <v>209</v>
      </c>
      <c r="C19" s="197" t="s">
        <v>98</v>
      </c>
      <c r="D19" s="196"/>
      <c r="E19" s="54"/>
      <c r="F19" s="54"/>
      <c r="G19" s="54"/>
      <c r="H19" s="54">
        <v>4</v>
      </c>
      <c r="I19" s="54">
        <v>5</v>
      </c>
      <c r="J19" s="114"/>
    </row>
    <row r="20" spans="1:18" s="35" customFormat="1" ht="21" customHeight="1" x14ac:dyDescent="0.2">
      <c r="A20" s="35" t="s">
        <v>210</v>
      </c>
      <c r="B20" s="195" t="s">
        <v>211</v>
      </c>
      <c r="C20" s="197" t="s">
        <v>98</v>
      </c>
      <c r="D20" s="196"/>
      <c r="E20" s="54"/>
      <c r="F20" s="54"/>
      <c r="G20" s="54"/>
      <c r="H20" s="54">
        <v>4</v>
      </c>
      <c r="I20" s="54">
        <v>5</v>
      </c>
      <c r="J20" s="112"/>
    </row>
    <row r="21" spans="1:18" s="32" customFormat="1" ht="21" customHeight="1" x14ac:dyDescent="0.2">
      <c r="A21" s="32" t="s">
        <v>212</v>
      </c>
      <c r="B21" s="194" t="s">
        <v>213</v>
      </c>
      <c r="C21" s="197" t="s">
        <v>98</v>
      </c>
      <c r="D21" s="196"/>
      <c r="E21" s="54"/>
      <c r="F21" s="54"/>
      <c r="G21" s="54"/>
      <c r="H21" s="54">
        <v>4</v>
      </c>
      <c r="I21" s="54">
        <v>5</v>
      </c>
      <c r="J21" s="114"/>
      <c r="R21" s="197"/>
    </row>
    <row r="22" spans="1:18" s="35" customFormat="1" ht="21" customHeight="1" x14ac:dyDescent="0.2">
      <c r="A22" s="35" t="s">
        <v>214</v>
      </c>
      <c r="B22" s="195" t="s">
        <v>215</v>
      </c>
      <c r="C22" s="197" t="s">
        <v>98</v>
      </c>
      <c r="D22" s="196"/>
      <c r="E22" s="54"/>
      <c r="F22" s="54"/>
      <c r="G22" s="54"/>
      <c r="H22" s="54">
        <v>4</v>
      </c>
      <c r="I22" s="54">
        <v>5</v>
      </c>
      <c r="J22" s="112"/>
    </row>
    <row r="23" spans="1:18" s="32" customFormat="1" ht="21" customHeight="1" x14ac:dyDescent="0.2">
      <c r="A23" s="32" t="s">
        <v>216</v>
      </c>
      <c r="B23" s="194" t="s">
        <v>217</v>
      </c>
      <c r="C23" s="197" t="s">
        <v>79</v>
      </c>
      <c r="D23" s="196"/>
      <c r="E23" s="54"/>
      <c r="F23" s="54"/>
      <c r="G23" s="54"/>
      <c r="H23" s="54">
        <v>4</v>
      </c>
      <c r="I23" s="54">
        <v>5</v>
      </c>
      <c r="J23" s="114"/>
    </row>
    <row r="24" spans="1:18" s="35" customFormat="1" ht="21" customHeight="1" x14ac:dyDescent="0.2">
      <c r="A24" s="35" t="s">
        <v>218</v>
      </c>
      <c r="B24" s="195" t="s">
        <v>219</v>
      </c>
      <c r="C24" s="197" t="s">
        <v>79</v>
      </c>
      <c r="D24" s="196"/>
      <c r="E24" s="54"/>
      <c r="F24" s="54"/>
      <c r="G24" s="54"/>
      <c r="H24" s="54">
        <v>4</v>
      </c>
      <c r="I24" s="54">
        <v>5</v>
      </c>
      <c r="J24" s="112"/>
    </row>
    <row r="25" spans="1:18" s="32" customFormat="1" ht="21" customHeight="1" x14ac:dyDescent="0.2">
      <c r="A25" s="32" t="s">
        <v>220</v>
      </c>
      <c r="B25" s="194" t="s">
        <v>221</v>
      </c>
      <c r="C25" s="197" t="s">
        <v>79</v>
      </c>
      <c r="D25" s="196"/>
      <c r="E25" s="54"/>
      <c r="F25" s="54"/>
      <c r="G25" s="54"/>
      <c r="H25" s="54">
        <v>4</v>
      </c>
      <c r="I25" s="54">
        <v>5</v>
      </c>
      <c r="J25" s="114"/>
    </row>
    <row r="26" spans="1:18" s="44" customFormat="1" ht="21" customHeight="1" x14ac:dyDescent="0.2">
      <c r="A26" s="201" t="s">
        <v>222</v>
      </c>
      <c r="B26" s="201" t="s">
        <v>223</v>
      </c>
      <c r="C26" s="120" t="s">
        <v>79</v>
      </c>
      <c r="D26" s="120"/>
      <c r="E26" s="120"/>
      <c r="F26" s="120"/>
      <c r="G26" s="120"/>
      <c r="H26" s="120"/>
      <c r="I26" s="120"/>
      <c r="J26" s="113"/>
    </row>
    <row r="27" spans="1:18" s="29" customFormat="1" ht="21" customHeight="1" x14ac:dyDescent="0.2">
      <c r="A27" s="28" t="s">
        <v>224</v>
      </c>
      <c r="B27" s="28"/>
    </row>
    <row r="28" spans="1:18" s="32" customFormat="1" ht="21" customHeight="1" x14ac:dyDescent="0.2">
      <c r="A28" s="32" t="s">
        <v>225</v>
      </c>
      <c r="B28" s="32" t="s">
        <v>226</v>
      </c>
      <c r="C28" s="197" t="s">
        <v>98</v>
      </c>
      <c r="D28" s="54"/>
      <c r="E28" s="54"/>
      <c r="F28" s="54"/>
      <c r="G28" s="54"/>
      <c r="H28" s="54">
        <v>4</v>
      </c>
      <c r="I28" s="54">
        <v>5</v>
      </c>
      <c r="J28" s="114"/>
    </row>
    <row r="29" spans="1:18" s="35" customFormat="1" ht="21" customHeight="1" x14ac:dyDescent="0.2">
      <c r="A29" s="35" t="s">
        <v>227</v>
      </c>
      <c r="B29" s="35" t="s">
        <v>228</v>
      </c>
      <c r="C29" s="197" t="s">
        <v>98</v>
      </c>
      <c r="D29" s="54"/>
      <c r="E29" s="54"/>
      <c r="F29" s="54"/>
      <c r="G29" s="54"/>
      <c r="H29" s="54">
        <v>4</v>
      </c>
      <c r="I29" s="54">
        <v>5</v>
      </c>
      <c r="J29" s="112"/>
    </row>
    <row r="30" spans="1:18" s="32" customFormat="1" ht="21" customHeight="1" x14ac:dyDescent="0.2">
      <c r="A30" s="32" t="s">
        <v>229</v>
      </c>
      <c r="B30" s="32" t="s">
        <v>230</v>
      </c>
      <c r="C30" s="197" t="s">
        <v>98</v>
      </c>
      <c r="D30" s="54"/>
      <c r="E30" s="54"/>
      <c r="F30" s="54"/>
      <c r="G30" s="54"/>
      <c r="H30" s="54">
        <v>4</v>
      </c>
      <c r="I30" s="54">
        <v>5</v>
      </c>
      <c r="J30" s="114"/>
    </row>
    <row r="31" spans="1:18" s="35" customFormat="1" ht="21" customHeight="1" x14ac:dyDescent="0.2">
      <c r="A31" s="35" t="s">
        <v>231</v>
      </c>
      <c r="B31" s="35" t="s">
        <v>232</v>
      </c>
      <c r="C31" s="197" t="s">
        <v>98</v>
      </c>
      <c r="D31" s="54"/>
      <c r="E31" s="54"/>
      <c r="F31" s="54"/>
      <c r="G31" s="54"/>
      <c r="H31" s="54">
        <v>4</v>
      </c>
      <c r="I31" s="54">
        <v>5</v>
      </c>
      <c r="J31" s="112"/>
    </row>
    <row r="32" spans="1:18" s="32" customFormat="1" ht="21" customHeight="1" x14ac:dyDescent="0.2">
      <c r="A32" s="32" t="s">
        <v>233</v>
      </c>
      <c r="B32" s="32" t="s">
        <v>234</v>
      </c>
      <c r="C32" s="197" t="s">
        <v>98</v>
      </c>
      <c r="D32" s="54"/>
      <c r="E32" s="54"/>
      <c r="F32" s="54"/>
      <c r="G32" s="54"/>
      <c r="H32" s="54">
        <v>4</v>
      </c>
      <c r="I32" s="54">
        <v>5</v>
      </c>
      <c r="J32" s="114"/>
    </row>
    <row r="33" spans="1:10" s="35" customFormat="1" ht="23.25" customHeight="1" x14ac:dyDescent="0.2">
      <c r="A33" s="35" t="s">
        <v>235</v>
      </c>
      <c r="B33" s="35" t="s">
        <v>236</v>
      </c>
      <c r="C33" s="197" t="s">
        <v>98</v>
      </c>
      <c r="D33" s="54"/>
      <c r="E33" s="54"/>
      <c r="F33" s="54"/>
      <c r="G33" s="54"/>
      <c r="H33" s="54">
        <v>4</v>
      </c>
      <c r="I33" s="54">
        <v>5</v>
      </c>
      <c r="J33" s="112"/>
    </row>
    <row r="34" spans="1:10" s="32" customFormat="1" ht="23.25" customHeight="1" x14ac:dyDescent="0.2">
      <c r="A34" s="32" t="s">
        <v>237</v>
      </c>
      <c r="B34" s="32" t="s">
        <v>238</v>
      </c>
      <c r="C34" s="197" t="s">
        <v>98</v>
      </c>
      <c r="D34" s="54"/>
      <c r="E34" s="54"/>
      <c r="F34" s="54"/>
      <c r="G34" s="54"/>
      <c r="H34" s="54">
        <v>4</v>
      </c>
      <c r="I34" s="54">
        <v>5</v>
      </c>
      <c r="J34" s="114"/>
    </row>
    <row r="35" spans="1:10" s="35" customFormat="1" ht="21" customHeight="1" x14ac:dyDescent="0.2">
      <c r="A35" s="35" t="s">
        <v>239</v>
      </c>
      <c r="B35" s="35" t="s">
        <v>240</v>
      </c>
      <c r="C35" s="197" t="s">
        <v>98</v>
      </c>
      <c r="D35" s="54"/>
      <c r="E35" s="54"/>
      <c r="F35" s="54"/>
      <c r="G35" s="54"/>
      <c r="H35" s="54">
        <v>4</v>
      </c>
      <c r="I35" s="54">
        <v>5</v>
      </c>
      <c r="J35" s="112"/>
    </row>
    <row r="36" spans="1:10" s="32" customFormat="1" ht="21" customHeight="1" x14ac:dyDescent="0.2">
      <c r="A36" s="32" t="s">
        <v>241</v>
      </c>
      <c r="B36" s="32" t="s">
        <v>242</v>
      </c>
      <c r="C36" s="197" t="s">
        <v>98</v>
      </c>
      <c r="D36" s="54"/>
      <c r="E36" s="54"/>
      <c r="F36" s="54"/>
      <c r="G36" s="54"/>
      <c r="H36" s="54">
        <v>4</v>
      </c>
      <c r="I36" s="54">
        <v>5</v>
      </c>
      <c r="J36" s="114"/>
    </row>
    <row r="37" spans="1:10" s="35" customFormat="1" ht="21" customHeight="1" x14ac:dyDescent="0.2">
      <c r="A37" s="35" t="s">
        <v>243</v>
      </c>
      <c r="B37" s="35" t="s">
        <v>244</v>
      </c>
      <c r="C37" s="197" t="s">
        <v>98</v>
      </c>
      <c r="D37" s="54"/>
      <c r="E37" s="54"/>
      <c r="F37" s="54"/>
      <c r="G37" s="54"/>
      <c r="H37" s="54">
        <v>4</v>
      </c>
      <c r="I37" s="54">
        <v>5</v>
      </c>
      <c r="J37" s="112"/>
    </row>
    <row r="38" spans="1:10" s="32" customFormat="1" ht="21" customHeight="1" x14ac:dyDescent="0.2">
      <c r="A38" s="32" t="s">
        <v>245</v>
      </c>
      <c r="B38" s="32" t="s">
        <v>246</v>
      </c>
      <c r="C38" s="197" t="s">
        <v>98</v>
      </c>
      <c r="D38" s="54"/>
      <c r="E38" s="54"/>
      <c r="F38" s="54"/>
      <c r="G38" s="54"/>
      <c r="H38" s="54">
        <v>4</v>
      </c>
      <c r="I38" s="54">
        <v>5</v>
      </c>
      <c r="J38" s="114"/>
    </row>
    <row r="39" spans="1:10" s="35" customFormat="1" ht="21" customHeight="1" x14ac:dyDescent="0.2">
      <c r="A39" s="35" t="s">
        <v>247</v>
      </c>
      <c r="B39" s="35" t="s">
        <v>248</v>
      </c>
      <c r="C39" s="197" t="s">
        <v>98</v>
      </c>
      <c r="D39" s="54"/>
      <c r="E39" s="54"/>
      <c r="F39" s="54"/>
      <c r="G39" s="54"/>
      <c r="H39" s="54">
        <v>4</v>
      </c>
      <c r="I39" s="54">
        <v>5</v>
      </c>
      <c r="J39" s="112"/>
    </row>
    <row r="40" spans="1:10" s="32" customFormat="1" ht="21" customHeight="1" x14ac:dyDescent="0.2">
      <c r="A40" s="32" t="s">
        <v>249</v>
      </c>
      <c r="B40" s="32" t="s">
        <v>250</v>
      </c>
      <c r="C40" s="197" t="s">
        <v>98</v>
      </c>
      <c r="D40" s="54"/>
      <c r="E40" s="54"/>
      <c r="F40" s="54"/>
      <c r="G40" s="54"/>
      <c r="H40" s="54">
        <v>4</v>
      </c>
      <c r="I40" s="54">
        <v>5</v>
      </c>
      <c r="J40" s="114"/>
    </row>
    <row r="41" spans="1:10" s="35" customFormat="1" ht="21" customHeight="1" x14ac:dyDescent="0.2">
      <c r="A41" s="35" t="s">
        <v>251</v>
      </c>
      <c r="B41" s="35" t="s">
        <v>252</v>
      </c>
      <c r="C41" s="197" t="s">
        <v>98</v>
      </c>
      <c r="D41" s="54"/>
      <c r="E41" s="54"/>
      <c r="F41" s="54"/>
      <c r="G41" s="54"/>
      <c r="H41" s="54">
        <v>4</v>
      </c>
      <c r="I41" s="54">
        <v>5</v>
      </c>
      <c r="J41" s="112"/>
    </row>
    <row r="42" spans="1:10" s="32" customFormat="1" ht="21" customHeight="1" x14ac:dyDescent="0.2">
      <c r="A42" s="32" t="s">
        <v>253</v>
      </c>
      <c r="B42" s="32" t="s">
        <v>254</v>
      </c>
      <c r="C42" s="197" t="s">
        <v>98</v>
      </c>
      <c r="D42" s="54"/>
      <c r="E42" s="54"/>
      <c r="F42" s="54"/>
      <c r="G42" s="54"/>
      <c r="H42" s="54">
        <v>4</v>
      </c>
      <c r="I42" s="54">
        <v>5</v>
      </c>
      <c r="J42" s="114"/>
    </row>
    <row r="43" spans="1:10" s="35" customFormat="1" ht="21" customHeight="1" x14ac:dyDescent="0.2">
      <c r="A43" s="35" t="s">
        <v>255</v>
      </c>
      <c r="B43" s="35" t="s">
        <v>256</v>
      </c>
      <c r="C43" s="197" t="s">
        <v>98</v>
      </c>
      <c r="D43" s="54"/>
      <c r="E43" s="54"/>
      <c r="F43" s="54"/>
      <c r="G43" s="54"/>
      <c r="H43" s="54">
        <v>4</v>
      </c>
      <c r="I43" s="54">
        <v>5</v>
      </c>
      <c r="J43" s="112"/>
    </row>
    <row r="44" spans="1:10" s="32" customFormat="1" ht="21" customHeight="1" x14ac:dyDescent="0.2">
      <c r="A44" s="32" t="s">
        <v>257</v>
      </c>
      <c r="B44" s="32" t="s">
        <v>258</v>
      </c>
      <c r="C44" s="197" t="s">
        <v>98</v>
      </c>
      <c r="D44" s="54"/>
      <c r="E44" s="54"/>
      <c r="F44" s="54"/>
      <c r="G44" s="54"/>
      <c r="H44" s="54">
        <v>4</v>
      </c>
      <c r="I44" s="54">
        <v>5</v>
      </c>
      <c r="J44" s="114"/>
    </row>
    <row r="45" spans="1:10" s="35" customFormat="1" ht="21" customHeight="1" x14ac:dyDescent="0.2">
      <c r="A45" s="35" t="s">
        <v>259</v>
      </c>
      <c r="B45" s="35" t="s">
        <v>260</v>
      </c>
      <c r="C45" s="197" t="s">
        <v>98</v>
      </c>
      <c r="D45" s="54"/>
      <c r="E45" s="54"/>
      <c r="F45" s="54"/>
      <c r="G45" s="54"/>
      <c r="H45" s="54">
        <v>4</v>
      </c>
      <c r="I45" s="54">
        <v>5</v>
      </c>
      <c r="J45" s="112"/>
    </row>
    <row r="46" spans="1:10" s="32" customFormat="1" ht="21" customHeight="1" x14ac:dyDescent="0.2">
      <c r="A46" s="32" t="s">
        <v>261</v>
      </c>
      <c r="B46" s="32" t="s">
        <v>262</v>
      </c>
      <c r="C46" s="197" t="s">
        <v>98</v>
      </c>
      <c r="D46" s="54"/>
      <c r="E46" s="54"/>
      <c r="F46" s="54"/>
      <c r="G46" s="54"/>
      <c r="H46" s="54">
        <v>4</v>
      </c>
      <c r="I46" s="54">
        <v>5</v>
      </c>
      <c r="J46" s="114"/>
    </row>
    <row r="47" spans="1:10" s="35" customFormat="1" ht="21" customHeight="1" x14ac:dyDescent="0.2">
      <c r="A47" s="35" t="s">
        <v>263</v>
      </c>
      <c r="B47" s="35" t="s">
        <v>264</v>
      </c>
      <c r="C47" s="197" t="s">
        <v>98</v>
      </c>
      <c r="D47" s="54"/>
      <c r="E47" s="54"/>
      <c r="F47" s="54"/>
      <c r="G47" s="54"/>
      <c r="H47" s="54">
        <v>4</v>
      </c>
      <c r="I47" s="54">
        <v>5</v>
      </c>
      <c r="J47" s="112"/>
    </row>
    <row r="48" spans="1:10" s="29" customFormat="1" ht="21" customHeight="1" x14ac:dyDescent="0.2">
      <c r="A48" s="28" t="s">
        <v>265</v>
      </c>
      <c r="B48" s="28"/>
    </row>
    <row r="49" spans="1:10" s="32" customFormat="1" ht="21" customHeight="1" x14ac:dyDescent="0.2">
      <c r="A49" s="32" t="s">
        <v>266</v>
      </c>
      <c r="B49" s="32" t="s">
        <v>267</v>
      </c>
      <c r="C49" s="197" t="s">
        <v>98</v>
      </c>
      <c r="D49" s="54"/>
      <c r="E49" s="54"/>
      <c r="F49" s="54"/>
      <c r="G49" s="54"/>
      <c r="H49" s="54">
        <v>4</v>
      </c>
      <c r="I49" s="54">
        <v>5</v>
      </c>
      <c r="J49" s="114"/>
    </row>
    <row r="50" spans="1:10" s="35" customFormat="1" ht="21" customHeight="1" x14ac:dyDescent="0.2">
      <c r="A50" s="35" t="s">
        <v>268</v>
      </c>
      <c r="B50" s="35" t="s">
        <v>269</v>
      </c>
      <c r="C50" s="197" t="s">
        <v>98</v>
      </c>
      <c r="D50" s="54"/>
      <c r="E50" s="54"/>
      <c r="F50" s="54"/>
      <c r="G50" s="54"/>
      <c r="H50" s="54">
        <v>4</v>
      </c>
      <c r="I50" s="54">
        <v>5</v>
      </c>
      <c r="J50" s="112"/>
    </row>
    <row r="51" spans="1:10" s="32" customFormat="1" ht="21" customHeight="1" x14ac:dyDescent="0.2">
      <c r="A51" s="32" t="s">
        <v>270</v>
      </c>
      <c r="B51" s="32" t="s">
        <v>271</v>
      </c>
      <c r="C51" s="197" t="s">
        <v>98</v>
      </c>
      <c r="D51" s="54"/>
      <c r="E51" s="54"/>
      <c r="F51" s="54"/>
      <c r="G51" s="54"/>
      <c r="H51" s="54">
        <v>4</v>
      </c>
      <c r="I51" s="54">
        <v>5</v>
      </c>
      <c r="J51" s="114"/>
    </row>
    <row r="52" spans="1:10" s="35" customFormat="1" ht="21" customHeight="1" x14ac:dyDescent="0.2">
      <c r="A52" s="35" t="s">
        <v>272</v>
      </c>
      <c r="B52" s="216" t="s">
        <v>273</v>
      </c>
      <c r="C52" s="197"/>
      <c r="D52" s="54"/>
      <c r="E52" s="54"/>
      <c r="F52" s="54"/>
      <c r="G52" s="54"/>
      <c r="H52" s="54">
        <v>4</v>
      </c>
      <c r="I52" s="54">
        <v>5</v>
      </c>
      <c r="J52" s="112"/>
    </row>
    <row r="53" spans="1:10" s="32" customFormat="1" ht="21" customHeight="1" x14ac:dyDescent="0.2">
      <c r="A53" s="32" t="s">
        <v>274</v>
      </c>
      <c r="B53" s="215" t="s">
        <v>275</v>
      </c>
      <c r="C53" s="197"/>
      <c r="D53" s="54"/>
      <c r="E53" s="54"/>
      <c r="F53" s="54"/>
      <c r="G53" s="54"/>
      <c r="H53" s="54">
        <v>4</v>
      </c>
      <c r="I53" s="54">
        <v>5</v>
      </c>
      <c r="J53" s="114"/>
    </row>
    <row r="54" spans="1:10" s="35" customFormat="1" ht="21" customHeight="1" x14ac:dyDescent="0.2">
      <c r="A54" s="35" t="s">
        <v>276</v>
      </c>
      <c r="B54" s="216" t="s">
        <v>277</v>
      </c>
      <c r="C54" s="197"/>
      <c r="D54" s="54"/>
      <c r="E54" s="54"/>
      <c r="F54" s="54"/>
      <c r="G54" s="54"/>
      <c r="H54" s="54">
        <v>4</v>
      </c>
      <c r="I54" s="54">
        <v>5</v>
      </c>
      <c r="J54" s="112"/>
    </row>
    <row r="55" spans="1:10" s="32" customFormat="1" ht="21" customHeight="1" x14ac:dyDescent="0.2">
      <c r="A55" s="32" t="s">
        <v>278</v>
      </c>
      <c r="B55" s="215" t="s">
        <v>279</v>
      </c>
      <c r="C55" s="197" t="s">
        <v>98</v>
      </c>
      <c r="D55" s="54"/>
      <c r="E55" s="54"/>
      <c r="F55" s="54"/>
      <c r="G55" s="54"/>
      <c r="H55" s="54">
        <v>4</v>
      </c>
      <c r="I55" s="54">
        <v>5</v>
      </c>
      <c r="J55" s="114"/>
    </row>
    <row r="56" spans="1:10" s="35" customFormat="1" ht="21" customHeight="1" x14ac:dyDescent="0.2">
      <c r="A56" s="35" t="s">
        <v>280</v>
      </c>
      <c r="B56" s="35" t="s">
        <v>281</v>
      </c>
      <c r="C56" s="197" t="s">
        <v>98</v>
      </c>
      <c r="D56" s="54"/>
      <c r="E56" s="54"/>
      <c r="F56" s="54"/>
      <c r="G56" s="54"/>
      <c r="H56" s="54">
        <v>4</v>
      </c>
      <c r="I56" s="54">
        <v>5</v>
      </c>
      <c r="J56" s="112"/>
    </row>
    <row r="57" spans="1:10" s="32" customFormat="1" ht="21" customHeight="1" x14ac:dyDescent="0.2">
      <c r="A57" s="32" t="s">
        <v>282</v>
      </c>
      <c r="B57" s="32" t="s">
        <v>283</v>
      </c>
      <c r="C57" s="197" t="s">
        <v>98</v>
      </c>
      <c r="D57" s="54"/>
      <c r="E57" s="54"/>
      <c r="F57" s="54"/>
      <c r="G57" s="54"/>
      <c r="H57" s="54">
        <v>4</v>
      </c>
      <c r="I57" s="54">
        <v>5</v>
      </c>
      <c r="J57" s="114"/>
    </row>
    <row r="58" spans="1:10" s="29" customFormat="1" ht="21" customHeight="1" x14ac:dyDescent="0.2">
      <c r="A58" s="28" t="s">
        <v>284</v>
      </c>
      <c r="B58" s="28"/>
    </row>
    <row r="59" spans="1:10" s="32" customFormat="1" ht="21" customHeight="1" x14ac:dyDescent="0.2">
      <c r="A59" s="32" t="s">
        <v>285</v>
      </c>
      <c r="B59" s="32" t="s">
        <v>286</v>
      </c>
      <c r="C59" s="197" t="s">
        <v>98</v>
      </c>
      <c r="D59" s="54"/>
      <c r="E59" s="54"/>
      <c r="F59" s="54"/>
      <c r="G59" s="54"/>
      <c r="H59" s="54">
        <v>4</v>
      </c>
      <c r="I59" s="54">
        <v>5</v>
      </c>
      <c r="J59" s="114"/>
    </row>
    <row r="60" spans="1:10" s="35" customFormat="1" ht="21" customHeight="1" x14ac:dyDescent="0.2">
      <c r="A60" s="35" t="s">
        <v>287</v>
      </c>
      <c r="B60" s="35" t="s">
        <v>288</v>
      </c>
      <c r="C60" s="197" t="s">
        <v>98</v>
      </c>
      <c r="D60" s="54"/>
      <c r="E60" s="54"/>
      <c r="F60" s="54"/>
      <c r="G60" s="54"/>
      <c r="H60" s="54">
        <v>4</v>
      </c>
      <c r="I60" s="54">
        <v>5</v>
      </c>
      <c r="J60" s="112"/>
    </row>
    <row r="61" spans="1:10" s="32" customFormat="1" ht="21" customHeight="1" x14ac:dyDescent="0.2">
      <c r="A61" s="32" t="s">
        <v>289</v>
      </c>
      <c r="B61" s="32" t="s">
        <v>290</v>
      </c>
      <c r="C61" s="197" t="s">
        <v>98</v>
      </c>
      <c r="D61" s="54"/>
      <c r="E61" s="54"/>
      <c r="F61" s="54"/>
      <c r="G61" s="54"/>
      <c r="H61" s="54">
        <v>4</v>
      </c>
      <c r="I61" s="54">
        <v>5</v>
      </c>
      <c r="J61" s="114"/>
    </row>
    <row r="62" spans="1:10" s="35" customFormat="1" ht="21" customHeight="1" x14ac:dyDescent="0.2">
      <c r="A62" s="35" t="s">
        <v>291</v>
      </c>
      <c r="B62" s="35" t="s">
        <v>292</v>
      </c>
      <c r="C62" s="197" t="s">
        <v>98</v>
      </c>
      <c r="D62" s="54"/>
      <c r="E62" s="54"/>
      <c r="F62" s="54"/>
      <c r="G62" s="54"/>
      <c r="H62" s="54">
        <v>4</v>
      </c>
      <c r="I62" s="54">
        <v>5</v>
      </c>
      <c r="J62" s="112"/>
    </row>
    <row r="63" spans="1:10" s="32" customFormat="1" ht="21" customHeight="1" x14ac:dyDescent="0.2">
      <c r="A63" s="32" t="s">
        <v>293</v>
      </c>
      <c r="B63" s="32" t="s">
        <v>294</v>
      </c>
      <c r="C63" s="197" t="s">
        <v>98</v>
      </c>
      <c r="D63" s="54"/>
      <c r="E63" s="54"/>
      <c r="F63" s="54"/>
      <c r="G63" s="54"/>
      <c r="H63" s="54">
        <v>4</v>
      </c>
      <c r="I63" s="54">
        <v>5</v>
      </c>
      <c r="J63" s="114"/>
    </row>
    <row r="64" spans="1:10" s="35" customFormat="1" ht="21" customHeight="1" x14ac:dyDescent="0.2">
      <c r="A64" s="35" t="s">
        <v>295</v>
      </c>
      <c r="B64" s="35" t="s">
        <v>296</v>
      </c>
      <c r="C64" s="197" t="s">
        <v>98</v>
      </c>
      <c r="D64" s="54"/>
      <c r="E64" s="54"/>
      <c r="F64" s="54"/>
      <c r="G64" s="54"/>
      <c r="H64" s="54">
        <v>4</v>
      </c>
      <c r="I64" s="54">
        <v>5</v>
      </c>
      <c r="J64" s="112"/>
    </row>
    <row r="65" spans="1:10" s="32" customFormat="1" ht="21" customHeight="1" x14ac:dyDescent="0.2">
      <c r="A65" s="32" t="s">
        <v>297</v>
      </c>
      <c r="B65" s="32" t="s">
        <v>298</v>
      </c>
      <c r="C65" s="197" t="s">
        <v>98</v>
      </c>
      <c r="D65" s="54"/>
      <c r="E65" s="54"/>
      <c r="F65" s="54"/>
      <c r="G65" s="54"/>
      <c r="H65" s="54">
        <v>4</v>
      </c>
      <c r="I65" s="54">
        <v>5</v>
      </c>
      <c r="J65" s="227">
        <v>0.35</v>
      </c>
    </row>
    <row r="66" spans="1:10" s="35" customFormat="1" ht="21" customHeight="1" x14ac:dyDescent="0.2">
      <c r="A66" s="35" t="s">
        <v>299</v>
      </c>
      <c r="B66" s="35" t="s">
        <v>300</v>
      </c>
      <c r="C66" s="197" t="s">
        <v>98</v>
      </c>
      <c r="D66" s="54"/>
      <c r="E66" s="54"/>
      <c r="F66" s="54"/>
      <c r="G66" s="54"/>
      <c r="H66" s="54">
        <v>4</v>
      </c>
      <c r="I66" s="54">
        <v>5</v>
      </c>
      <c r="J66" s="226">
        <v>1</v>
      </c>
    </row>
    <row r="67" spans="1:10" s="29" customFormat="1" ht="21" customHeight="1" x14ac:dyDescent="0.2">
      <c r="A67" s="28" t="s">
        <v>301</v>
      </c>
      <c r="B67" s="28"/>
    </row>
    <row r="68" spans="1:10" s="32" customFormat="1" ht="21" customHeight="1" x14ac:dyDescent="0.2">
      <c r="A68" s="32" t="s">
        <v>302</v>
      </c>
      <c r="B68" s="32" t="s">
        <v>303</v>
      </c>
      <c r="C68" s="197" t="s">
        <v>98</v>
      </c>
      <c r="D68" s="54"/>
      <c r="E68" s="54"/>
      <c r="F68" s="54"/>
      <c r="G68" s="54"/>
      <c r="H68" s="54">
        <v>4</v>
      </c>
      <c r="I68" s="54">
        <v>5</v>
      </c>
      <c r="J68" s="114"/>
    </row>
    <row r="69" spans="1:10" s="35" customFormat="1" ht="21" customHeight="1" x14ac:dyDescent="0.2">
      <c r="A69" s="35" t="s">
        <v>304</v>
      </c>
      <c r="B69" s="35" t="s">
        <v>305</v>
      </c>
      <c r="C69" s="197" t="s">
        <v>98</v>
      </c>
      <c r="D69" s="54"/>
      <c r="E69" s="54"/>
      <c r="F69" s="54"/>
      <c r="G69" s="54"/>
      <c r="H69" s="54">
        <v>4</v>
      </c>
      <c r="I69" s="54">
        <v>5</v>
      </c>
      <c r="J69" s="112"/>
    </row>
    <row r="70" spans="1:10" s="32" customFormat="1" ht="21" customHeight="1" x14ac:dyDescent="0.2">
      <c r="A70" s="32" t="s">
        <v>306</v>
      </c>
      <c r="B70" s="32" t="s">
        <v>307</v>
      </c>
      <c r="C70" s="197" t="s">
        <v>98</v>
      </c>
      <c r="D70" s="54"/>
      <c r="E70" s="54"/>
      <c r="F70" s="54"/>
      <c r="G70" s="54"/>
      <c r="H70" s="54">
        <v>4</v>
      </c>
      <c r="I70" s="54">
        <v>5</v>
      </c>
      <c r="J70" s="114"/>
    </row>
    <row r="71" spans="1:10" s="35" customFormat="1" ht="21" customHeight="1" x14ac:dyDescent="0.2">
      <c r="A71" s="35" t="s">
        <v>308</v>
      </c>
      <c r="B71" s="35" t="s">
        <v>309</v>
      </c>
      <c r="C71" s="197" t="s">
        <v>98</v>
      </c>
      <c r="D71" s="54"/>
      <c r="E71" s="54"/>
      <c r="F71" s="54"/>
      <c r="G71" s="54"/>
      <c r="H71" s="54">
        <v>4</v>
      </c>
      <c r="I71" s="54">
        <v>5</v>
      </c>
      <c r="J71" s="112"/>
    </row>
    <row r="72" spans="1:10" s="32" customFormat="1" ht="21" customHeight="1" x14ac:dyDescent="0.2">
      <c r="A72" s="32" t="s">
        <v>310</v>
      </c>
      <c r="B72" s="215" t="s">
        <v>311</v>
      </c>
      <c r="C72" s="197"/>
      <c r="D72" s="54"/>
      <c r="E72" s="54"/>
      <c r="F72" s="54"/>
      <c r="G72" s="54"/>
      <c r="H72" s="54">
        <v>4</v>
      </c>
      <c r="I72" s="54">
        <v>5</v>
      </c>
      <c r="J72" s="114"/>
    </row>
    <row r="73" spans="1:10" s="35" customFormat="1" ht="21" customHeight="1" x14ac:dyDescent="0.2">
      <c r="A73" s="35" t="s">
        <v>312</v>
      </c>
      <c r="B73" s="35" t="s">
        <v>313</v>
      </c>
      <c r="C73" s="197" t="s">
        <v>98</v>
      </c>
      <c r="D73" s="54"/>
      <c r="E73" s="54"/>
      <c r="F73" s="54"/>
      <c r="G73" s="54"/>
      <c r="H73" s="54">
        <v>4</v>
      </c>
      <c r="I73" s="54">
        <v>5</v>
      </c>
      <c r="J73" s="112"/>
    </row>
    <row r="74" spans="1:10" s="29" customFormat="1" ht="21" customHeight="1" x14ac:dyDescent="0.2">
      <c r="A74" s="28" t="s">
        <v>314</v>
      </c>
      <c r="B74" s="28"/>
    </row>
    <row r="75" spans="1:10" s="32" customFormat="1" ht="21" customHeight="1" x14ac:dyDescent="0.2">
      <c r="A75" s="32" t="s">
        <v>315</v>
      </c>
      <c r="B75" s="32" t="s">
        <v>316</v>
      </c>
      <c r="C75" s="197" t="s">
        <v>98</v>
      </c>
      <c r="D75" s="54"/>
      <c r="E75" s="54"/>
      <c r="F75" s="54"/>
      <c r="G75" s="54"/>
      <c r="H75" s="54">
        <v>4</v>
      </c>
      <c r="I75" s="54">
        <v>5</v>
      </c>
      <c r="J75" s="114"/>
    </row>
    <row r="76" spans="1:10" s="35" customFormat="1" ht="21" customHeight="1" x14ac:dyDescent="0.2">
      <c r="A76" s="35" t="s">
        <v>317</v>
      </c>
      <c r="B76" s="35" t="s">
        <v>318</v>
      </c>
      <c r="C76" s="197" t="s">
        <v>98</v>
      </c>
      <c r="D76" s="54"/>
      <c r="E76" s="54"/>
      <c r="F76" s="54"/>
      <c r="G76" s="54"/>
      <c r="H76" s="54">
        <v>4</v>
      </c>
      <c r="I76" s="54">
        <v>5</v>
      </c>
      <c r="J76" s="112"/>
    </row>
    <row r="77" spans="1:10" s="32" customFormat="1" ht="21" customHeight="1" x14ac:dyDescent="0.2">
      <c r="A77" s="32" t="s">
        <v>319</v>
      </c>
      <c r="B77" s="32" t="s">
        <v>320</v>
      </c>
      <c r="C77" s="197" t="s">
        <v>98</v>
      </c>
      <c r="D77" s="54"/>
      <c r="E77" s="54"/>
      <c r="F77" s="54"/>
      <c r="G77" s="54"/>
      <c r="H77" s="54">
        <v>4</v>
      </c>
      <c r="I77" s="54">
        <v>5</v>
      </c>
      <c r="J77" s="114"/>
    </row>
    <row r="78" spans="1:10" s="35" customFormat="1" ht="21" customHeight="1" x14ac:dyDescent="0.2">
      <c r="A78" s="35" t="s">
        <v>321</v>
      </c>
      <c r="B78" s="35" t="s">
        <v>322</v>
      </c>
      <c r="C78" s="197" t="s">
        <v>98</v>
      </c>
      <c r="D78" s="54"/>
      <c r="E78" s="54"/>
      <c r="F78" s="54"/>
      <c r="G78" s="54"/>
      <c r="H78" s="54">
        <v>4</v>
      </c>
      <c r="I78" s="54">
        <v>5</v>
      </c>
      <c r="J78" s="112"/>
    </row>
    <row r="79" spans="1:10" s="32" customFormat="1" ht="21" customHeight="1" x14ac:dyDescent="0.2">
      <c r="A79" s="32" t="s">
        <v>323</v>
      </c>
      <c r="B79" s="32" t="s">
        <v>324</v>
      </c>
      <c r="C79" s="197" t="s">
        <v>98</v>
      </c>
      <c r="D79" s="54"/>
      <c r="E79" s="54"/>
      <c r="F79" s="54"/>
      <c r="G79" s="54"/>
      <c r="H79" s="54">
        <v>4</v>
      </c>
      <c r="I79" s="54">
        <v>5</v>
      </c>
      <c r="J79" s="114"/>
    </row>
    <row r="80" spans="1:10" s="29" customFormat="1" ht="21" customHeight="1" x14ac:dyDescent="0.2">
      <c r="A80" s="28" t="s">
        <v>325</v>
      </c>
      <c r="B80" s="28"/>
    </row>
    <row r="81" spans="1:11" s="32" customFormat="1" ht="21" customHeight="1" x14ac:dyDescent="0.2">
      <c r="A81" s="32" t="s">
        <v>326</v>
      </c>
      <c r="B81" s="32" t="s">
        <v>327</v>
      </c>
      <c r="C81" s="197" t="s">
        <v>98</v>
      </c>
      <c r="D81" s="54"/>
      <c r="E81" s="54"/>
      <c r="F81" s="54"/>
      <c r="G81" s="54"/>
      <c r="H81" s="54">
        <v>4</v>
      </c>
      <c r="I81" s="54">
        <v>5</v>
      </c>
      <c r="J81" s="114"/>
    </row>
    <row r="82" spans="1:11" s="35" customFormat="1" ht="21" customHeight="1" x14ac:dyDescent="0.2">
      <c r="A82" s="35" t="s">
        <v>328</v>
      </c>
      <c r="B82" s="35" t="s">
        <v>329</v>
      </c>
      <c r="C82" s="197" t="s">
        <v>98</v>
      </c>
      <c r="D82" s="54"/>
      <c r="E82" s="54"/>
      <c r="F82" s="54"/>
      <c r="G82" s="54"/>
      <c r="H82" s="54">
        <v>4</v>
      </c>
      <c r="I82" s="54">
        <v>5</v>
      </c>
      <c r="J82" s="116"/>
    </row>
    <row r="83" spans="1:11" s="32" customFormat="1" ht="21" customHeight="1" x14ac:dyDescent="0.2">
      <c r="A83" s="32" t="s">
        <v>330</v>
      </c>
      <c r="B83" s="32" t="s">
        <v>331</v>
      </c>
      <c r="C83" s="197" t="s">
        <v>98</v>
      </c>
      <c r="D83" s="54"/>
      <c r="E83" s="54"/>
      <c r="F83" s="54"/>
      <c r="G83" s="54"/>
      <c r="H83" s="54">
        <v>4</v>
      </c>
      <c r="I83" s="54">
        <v>5</v>
      </c>
      <c r="J83" s="114"/>
    </row>
    <row r="84" spans="1:11" s="35" customFormat="1" ht="21" customHeight="1" x14ac:dyDescent="0.2">
      <c r="A84" s="35" t="s">
        <v>332</v>
      </c>
      <c r="B84" s="35" t="s">
        <v>333</v>
      </c>
      <c r="C84" s="197" t="s">
        <v>98</v>
      </c>
      <c r="D84" s="54"/>
      <c r="E84" s="54"/>
      <c r="F84" s="54"/>
      <c r="G84" s="54"/>
      <c r="H84" s="54">
        <v>4</v>
      </c>
      <c r="I84" s="54">
        <v>5</v>
      </c>
      <c r="J84" s="112"/>
    </row>
    <row r="85" spans="1:11" s="32" customFormat="1" ht="21" customHeight="1" x14ac:dyDescent="0.2">
      <c r="A85" s="32" t="s">
        <v>334</v>
      </c>
      <c r="B85" s="32" t="s">
        <v>335</v>
      </c>
      <c r="C85" s="197" t="s">
        <v>98</v>
      </c>
      <c r="D85" s="54"/>
      <c r="E85" s="54"/>
      <c r="F85" s="54"/>
      <c r="G85" s="54"/>
      <c r="H85" s="54">
        <v>4</v>
      </c>
      <c r="I85" s="54">
        <v>5</v>
      </c>
      <c r="J85" s="114"/>
    </row>
    <row r="86" spans="1:11" s="35" customFormat="1" ht="21" customHeight="1" x14ac:dyDescent="0.2">
      <c r="A86" s="35" t="s">
        <v>336</v>
      </c>
      <c r="B86" s="35" t="s">
        <v>337</v>
      </c>
      <c r="C86" s="197" t="s">
        <v>98</v>
      </c>
      <c r="D86" s="54"/>
      <c r="E86" s="54"/>
      <c r="F86" s="54"/>
      <c r="G86" s="54"/>
      <c r="H86" s="54">
        <v>4</v>
      </c>
      <c r="I86" s="54">
        <v>5</v>
      </c>
      <c r="J86" s="112"/>
    </row>
    <row r="87" spans="1:11" s="32" customFormat="1" ht="21" customHeight="1" x14ac:dyDescent="0.2">
      <c r="A87" s="32" t="s">
        <v>338</v>
      </c>
      <c r="B87" s="32" t="s">
        <v>339</v>
      </c>
      <c r="C87" s="197" t="s">
        <v>98</v>
      </c>
      <c r="D87" s="54"/>
      <c r="E87" s="54"/>
      <c r="F87" s="54"/>
      <c r="G87" s="54"/>
      <c r="H87" s="54">
        <v>4</v>
      </c>
      <c r="I87" s="54">
        <v>5</v>
      </c>
      <c r="J87" s="114"/>
    </row>
    <row r="88" spans="1:11" s="35" customFormat="1" ht="21" customHeight="1" x14ac:dyDescent="0.2">
      <c r="A88" s="35" t="s">
        <v>340</v>
      </c>
      <c r="B88" s="35" t="s">
        <v>341</v>
      </c>
      <c r="C88" s="197" t="s">
        <v>364</v>
      </c>
      <c r="D88" s="54"/>
      <c r="E88" s="54"/>
      <c r="F88" s="54"/>
      <c r="G88" s="54"/>
      <c r="H88" s="54">
        <v>4</v>
      </c>
      <c r="I88" s="54">
        <v>5</v>
      </c>
      <c r="J88" s="112"/>
    </row>
    <row r="89" spans="1:11" s="32" customFormat="1" ht="21" customHeight="1" x14ac:dyDescent="0.2">
      <c r="A89" s="32" t="s">
        <v>342</v>
      </c>
      <c r="B89" s="32" t="s">
        <v>343</v>
      </c>
      <c r="C89" s="197" t="s">
        <v>98</v>
      </c>
      <c r="D89" s="54"/>
      <c r="E89" s="54"/>
      <c r="F89" s="54"/>
      <c r="G89" s="54"/>
      <c r="H89" s="54">
        <v>4</v>
      </c>
      <c r="I89" s="54">
        <v>5</v>
      </c>
      <c r="J89" s="114"/>
    </row>
    <row r="90" spans="1:11" s="35" customFormat="1" ht="21" customHeight="1" x14ac:dyDescent="0.2">
      <c r="A90" s="35" t="s">
        <v>344</v>
      </c>
      <c r="B90" s="35" t="s">
        <v>345</v>
      </c>
      <c r="C90" s="197" t="s">
        <v>364</v>
      </c>
      <c r="D90" s="54"/>
      <c r="E90" s="54"/>
      <c r="F90" s="54"/>
      <c r="G90" s="54"/>
      <c r="H90" s="54">
        <v>4</v>
      </c>
      <c r="I90" s="54">
        <v>5</v>
      </c>
      <c r="J90" s="112"/>
    </row>
    <row r="91" spans="1:11" s="32" customFormat="1" ht="21" customHeight="1" x14ac:dyDescent="0.2">
      <c r="A91" s="32" t="s">
        <v>346</v>
      </c>
      <c r="B91" s="32" t="s">
        <v>347</v>
      </c>
      <c r="C91" s="197" t="s">
        <v>98</v>
      </c>
      <c r="D91" s="54"/>
      <c r="E91" s="54"/>
      <c r="F91" s="54"/>
      <c r="G91" s="54"/>
      <c r="H91" s="54">
        <v>4</v>
      </c>
      <c r="I91" s="54">
        <v>5</v>
      </c>
      <c r="J91" s="114"/>
    </row>
    <row r="92" spans="1:11" s="35" customFormat="1" ht="21" customHeight="1" x14ac:dyDescent="0.2">
      <c r="A92" s="35" t="s">
        <v>348</v>
      </c>
      <c r="B92" s="35" t="s">
        <v>349</v>
      </c>
      <c r="C92" s="197" t="s">
        <v>98</v>
      </c>
      <c r="D92" s="54"/>
      <c r="E92" s="54"/>
      <c r="F92" s="54"/>
      <c r="G92" s="54"/>
      <c r="H92" s="54">
        <v>4</v>
      </c>
      <c r="I92" s="54">
        <v>5</v>
      </c>
      <c r="J92" s="112"/>
    </row>
    <row r="94" spans="1:11" s="7" customFormat="1" ht="15" hidden="1" customHeight="1" x14ac:dyDescent="0.2">
      <c r="A94" s="177"/>
      <c r="B94" s="177" t="s">
        <v>165</v>
      </c>
      <c r="C94" s="7" t="e">
        <f>#REF!</f>
        <v>#REF!</v>
      </c>
      <c r="D94" s="7" t="e">
        <f t="shared" ref="D94:I94" si="0">#REF!</f>
        <v>#REF!</v>
      </c>
      <c r="E94" s="7" t="e">
        <f t="shared" si="0"/>
        <v>#REF!</v>
      </c>
      <c r="F94" s="7" t="e">
        <f t="shared" si="0"/>
        <v>#REF!</v>
      </c>
      <c r="G94" s="7" t="e">
        <f t="shared" si="0"/>
        <v>#REF!</v>
      </c>
      <c r="H94" s="7" t="e">
        <f t="shared" si="0"/>
        <v>#REF!</v>
      </c>
      <c r="I94" s="7" t="e">
        <f t="shared" si="0"/>
        <v>#REF!</v>
      </c>
      <c r="J94" s="17"/>
      <c r="K94" s="16"/>
    </row>
    <row r="95" spans="1:11" s="6" customFormat="1" ht="15" hidden="1" customHeight="1" x14ac:dyDescent="0.2">
      <c r="A95"/>
      <c r="B95" s="32" t="str">
        <f>A4</f>
        <v>2.1 - Resourcing</v>
      </c>
      <c r="C95" s="20">
        <f>SUM(C5:C25)</f>
        <v>0</v>
      </c>
      <c r="D95" s="20">
        <f t="shared" ref="D95:I95" si="1">SUM(D5:D25)</f>
        <v>0</v>
      </c>
      <c r="E95" s="20">
        <f t="shared" si="1"/>
        <v>0</v>
      </c>
      <c r="F95" s="20">
        <f t="shared" si="1"/>
        <v>0</v>
      </c>
      <c r="G95" s="20">
        <f t="shared" si="1"/>
        <v>0</v>
      </c>
      <c r="H95" s="20">
        <f t="shared" si="1"/>
        <v>84</v>
      </c>
      <c r="I95" s="20">
        <f t="shared" si="1"/>
        <v>105</v>
      </c>
      <c r="J95" s="18"/>
      <c r="K95" s="15"/>
    </row>
    <row r="96" spans="1:11" s="6" customFormat="1" ht="15" hidden="1" customHeight="1" x14ac:dyDescent="0.2">
      <c r="A96"/>
      <c r="B96" s="32" t="str">
        <f>A27</f>
        <v>2.2 - Training</v>
      </c>
      <c r="C96" s="20">
        <f>SUM(C28:C47)</f>
        <v>0</v>
      </c>
      <c r="D96" s="20">
        <f t="shared" ref="D96:I96" si="2">SUM(D28:D47)</f>
        <v>0</v>
      </c>
      <c r="E96" s="20">
        <f t="shared" si="2"/>
        <v>0</v>
      </c>
      <c r="F96" s="20">
        <f t="shared" si="2"/>
        <v>0</v>
      </c>
      <c r="G96" s="20">
        <f t="shared" si="2"/>
        <v>0</v>
      </c>
      <c r="H96" s="20">
        <f t="shared" si="2"/>
        <v>80</v>
      </c>
      <c r="I96" s="20">
        <f t="shared" si="2"/>
        <v>100</v>
      </c>
      <c r="J96" s="18"/>
      <c r="K96" s="15"/>
    </row>
    <row r="97" spans="1:11" s="6" customFormat="1" ht="15" hidden="1" customHeight="1" x14ac:dyDescent="0.2">
      <c r="A97"/>
      <c r="B97" s="32" t="str">
        <f>A48</f>
        <v>2.3 - Certifications</v>
      </c>
      <c r="C97" s="20">
        <f>SUM(C49:C57)</f>
        <v>0</v>
      </c>
      <c r="D97" s="20">
        <f t="shared" ref="D97:I97" si="3">SUM(D49:D57)</f>
        <v>0</v>
      </c>
      <c r="E97" s="20">
        <f t="shared" si="3"/>
        <v>0</v>
      </c>
      <c r="F97" s="20">
        <f t="shared" si="3"/>
        <v>0</v>
      </c>
      <c r="G97" s="20">
        <f t="shared" si="3"/>
        <v>0</v>
      </c>
      <c r="H97" s="20">
        <f t="shared" si="3"/>
        <v>36</v>
      </c>
      <c r="I97" s="20">
        <f t="shared" si="3"/>
        <v>45</v>
      </c>
      <c r="J97" s="18"/>
      <c r="K97" s="15"/>
    </row>
    <row r="98" spans="1:11" s="6" customFormat="1" ht="15" hidden="1" customHeight="1" x14ac:dyDescent="0.2">
      <c r="A98"/>
      <c r="B98" s="32" t="str">
        <f>A58</f>
        <v>2.4 - Relevant Experience</v>
      </c>
      <c r="C98" s="20">
        <f>SUM(C59:C66)</f>
        <v>0</v>
      </c>
      <c r="D98" s="20">
        <f t="shared" ref="D98:I98" si="4">SUM(D59:D66)</f>
        <v>0</v>
      </c>
      <c r="E98" s="20">
        <f t="shared" si="4"/>
        <v>0</v>
      </c>
      <c r="F98" s="20">
        <f t="shared" si="4"/>
        <v>0</v>
      </c>
      <c r="G98" s="20">
        <f t="shared" si="4"/>
        <v>0</v>
      </c>
      <c r="H98" s="20">
        <f t="shared" si="4"/>
        <v>32</v>
      </c>
      <c r="I98" s="20">
        <f t="shared" si="4"/>
        <v>40</v>
      </c>
      <c r="J98" s="18"/>
      <c r="K98" s="15"/>
    </row>
    <row r="99" spans="1:11" s="6" customFormat="1" ht="15" hidden="1" customHeight="1" x14ac:dyDescent="0.2">
      <c r="A99"/>
      <c r="B99" s="32" t="str">
        <f>A67</f>
        <v>2.5 - Skills Assessment</v>
      </c>
      <c r="C99" s="20">
        <f>SUM(C68:C73)</f>
        <v>0</v>
      </c>
      <c r="D99" s="20">
        <f t="shared" ref="D99:I99" si="5">SUM(D68:D73)</f>
        <v>0</v>
      </c>
      <c r="E99" s="20">
        <f t="shared" si="5"/>
        <v>0</v>
      </c>
      <c r="F99" s="20">
        <f t="shared" si="5"/>
        <v>0</v>
      </c>
      <c r="G99" s="20">
        <f t="shared" si="5"/>
        <v>0</v>
      </c>
      <c r="H99" s="20">
        <f t="shared" si="5"/>
        <v>24</v>
      </c>
      <c r="I99" s="20">
        <f t="shared" si="5"/>
        <v>30</v>
      </c>
      <c r="J99" s="18"/>
      <c r="K99" s="15"/>
    </row>
    <row r="100" spans="1:11" s="6" customFormat="1" ht="15" hidden="1" customHeight="1" x14ac:dyDescent="0.2">
      <c r="A100"/>
      <c r="B100" s="44" t="str">
        <f>A74</f>
        <v>2.6 - Career Path</v>
      </c>
      <c r="C100" s="20">
        <f>SUM(C75:C79)</f>
        <v>0</v>
      </c>
      <c r="D100" s="20">
        <f t="shared" ref="D100:I100" si="6">SUM(D75:D79)</f>
        <v>0</v>
      </c>
      <c r="E100" s="20">
        <f t="shared" si="6"/>
        <v>0</v>
      </c>
      <c r="F100" s="20">
        <f t="shared" si="6"/>
        <v>0</v>
      </c>
      <c r="G100" s="20">
        <f t="shared" si="6"/>
        <v>0</v>
      </c>
      <c r="H100" s="20">
        <f t="shared" si="6"/>
        <v>20</v>
      </c>
      <c r="I100" s="20">
        <f t="shared" si="6"/>
        <v>25</v>
      </c>
      <c r="J100" s="18"/>
      <c r="K100" s="15"/>
    </row>
    <row r="101" spans="1:11" s="6" customFormat="1" ht="15" hidden="1" customHeight="1" thickBot="1" x14ac:dyDescent="0.25">
      <c r="A101"/>
      <c r="B101" s="44" t="str">
        <f>A80</f>
        <v>2.7 - Leadership</v>
      </c>
      <c r="C101" s="20">
        <f>SUM(C81:C92)</f>
        <v>0</v>
      </c>
      <c r="D101" s="20">
        <f t="shared" ref="D101:I101" si="7">SUM(D81:D92)</f>
        <v>0</v>
      </c>
      <c r="E101" s="20">
        <f t="shared" si="7"/>
        <v>0</v>
      </c>
      <c r="F101" s="20">
        <f t="shared" si="7"/>
        <v>0</v>
      </c>
      <c r="G101" s="20">
        <f t="shared" si="7"/>
        <v>0</v>
      </c>
      <c r="H101" s="20">
        <f t="shared" si="7"/>
        <v>48</v>
      </c>
      <c r="I101" s="20">
        <f t="shared" si="7"/>
        <v>60</v>
      </c>
      <c r="J101" s="18"/>
      <c r="K101" s="15"/>
    </row>
    <row r="102" spans="1:11" s="45" customFormat="1" ht="15" hidden="1" customHeight="1" thickBot="1" x14ac:dyDescent="0.25">
      <c r="A102" s="178"/>
      <c r="B102" s="179" t="s">
        <v>166</v>
      </c>
      <c r="C102" s="47">
        <f>SUM(C95:C99)</f>
        <v>0</v>
      </c>
      <c r="D102" s="47">
        <f t="shared" ref="D102:I102" si="8">SUM(D95:D99)</f>
        <v>0</v>
      </c>
      <c r="E102" s="47">
        <f t="shared" si="8"/>
        <v>0</v>
      </c>
      <c r="F102" s="47">
        <f t="shared" si="8"/>
        <v>0</v>
      </c>
      <c r="G102" s="47">
        <f t="shared" si="8"/>
        <v>0</v>
      </c>
      <c r="H102" s="47">
        <f t="shared" si="8"/>
        <v>256</v>
      </c>
      <c r="I102" s="47">
        <f t="shared" si="8"/>
        <v>320</v>
      </c>
      <c r="J102" s="48"/>
      <c r="K102" s="49"/>
    </row>
    <row r="103" spans="1:11" s="6" customFormat="1" ht="15" hidden="1" x14ac:dyDescent="0.2">
      <c r="A103"/>
      <c r="B103" s="180"/>
      <c r="J103" s="18"/>
      <c r="K103" s="15"/>
    </row>
    <row r="104" spans="1:11" s="6" customFormat="1" ht="15" hidden="1" x14ac:dyDescent="0.2">
      <c r="A104"/>
      <c r="B104" s="180"/>
      <c r="J104" s="18"/>
      <c r="K104" s="15"/>
    </row>
    <row r="105" spans="1:11" s="7" customFormat="1" ht="15" hidden="1" customHeight="1" x14ac:dyDescent="0.2">
      <c r="A105" s="177"/>
      <c r="B105" s="177" t="s">
        <v>167</v>
      </c>
      <c r="C105" s="7" t="e">
        <f t="shared" ref="C105:H105" si="9">C94</f>
        <v>#REF!</v>
      </c>
      <c r="D105" s="7" t="e">
        <f t="shared" si="9"/>
        <v>#REF!</v>
      </c>
      <c r="E105" s="7" t="e">
        <f t="shared" si="9"/>
        <v>#REF!</v>
      </c>
      <c r="F105" s="7" t="e">
        <f t="shared" si="9"/>
        <v>#REF!</v>
      </c>
      <c r="G105" s="7" t="e">
        <f t="shared" si="9"/>
        <v>#REF!</v>
      </c>
      <c r="H105" s="7" t="e">
        <f t="shared" si="9"/>
        <v>#REF!</v>
      </c>
      <c r="J105" s="17"/>
      <c r="K105" s="16"/>
    </row>
    <row r="106" spans="1:11" s="6" customFormat="1" ht="15" hidden="1" customHeight="1" x14ac:dyDescent="0.2">
      <c r="A106"/>
      <c r="B106" s="32" t="str">
        <f>B95</f>
        <v>2.1 - Resourcing</v>
      </c>
      <c r="C106" s="21">
        <f>C95/$I95</f>
        <v>0</v>
      </c>
      <c r="D106" s="21">
        <f t="shared" ref="D106:H106" si="10">D95/$I95</f>
        <v>0</v>
      </c>
      <c r="E106" s="21">
        <f t="shared" si="10"/>
        <v>0</v>
      </c>
      <c r="F106" s="21">
        <f t="shared" si="10"/>
        <v>0</v>
      </c>
      <c r="G106" s="21">
        <f t="shared" si="10"/>
        <v>0</v>
      </c>
      <c r="H106" s="21">
        <f t="shared" si="10"/>
        <v>0.8</v>
      </c>
      <c r="I106" s="14"/>
      <c r="J106" s="18"/>
      <c r="K106" s="15"/>
    </row>
    <row r="107" spans="1:11" s="6" customFormat="1" ht="15" hidden="1" customHeight="1" x14ac:dyDescent="0.2">
      <c r="A107"/>
      <c r="B107" s="32" t="str">
        <f>B96</f>
        <v>2.2 - Training</v>
      </c>
      <c r="C107" s="21">
        <f t="shared" ref="C107:H107" si="11">C96/$I96</f>
        <v>0</v>
      </c>
      <c r="D107" s="21">
        <f t="shared" si="11"/>
        <v>0</v>
      </c>
      <c r="E107" s="21">
        <f t="shared" si="11"/>
        <v>0</v>
      </c>
      <c r="F107" s="21">
        <f t="shared" si="11"/>
        <v>0</v>
      </c>
      <c r="G107" s="21">
        <f t="shared" si="11"/>
        <v>0</v>
      </c>
      <c r="H107" s="21">
        <f t="shared" si="11"/>
        <v>0.8</v>
      </c>
      <c r="I107" s="14"/>
      <c r="J107" s="18"/>
      <c r="K107" s="15"/>
    </row>
    <row r="108" spans="1:11" s="6" customFormat="1" ht="15" hidden="1" customHeight="1" x14ac:dyDescent="0.2">
      <c r="A108"/>
      <c r="B108" s="32" t="str">
        <f>B97</f>
        <v>2.3 - Certifications</v>
      </c>
      <c r="C108" s="21">
        <f t="shared" ref="C108:H108" si="12">C97/$I97</f>
        <v>0</v>
      </c>
      <c r="D108" s="21">
        <f t="shared" si="12"/>
        <v>0</v>
      </c>
      <c r="E108" s="21">
        <f t="shared" si="12"/>
        <v>0</v>
      </c>
      <c r="F108" s="21">
        <f t="shared" si="12"/>
        <v>0</v>
      </c>
      <c r="G108" s="21">
        <f t="shared" si="12"/>
        <v>0</v>
      </c>
      <c r="H108" s="21">
        <f t="shared" si="12"/>
        <v>0.8</v>
      </c>
      <c r="I108" s="14"/>
      <c r="J108" s="18"/>
      <c r="K108" s="15"/>
    </row>
    <row r="109" spans="1:11" s="6" customFormat="1" ht="15" hidden="1" customHeight="1" x14ac:dyDescent="0.2">
      <c r="A109"/>
      <c r="B109" s="32" t="str">
        <f>B98</f>
        <v>2.4 - Relevant Experience</v>
      </c>
      <c r="C109" s="21">
        <f t="shared" ref="C109:H109" si="13">C98/$I98</f>
        <v>0</v>
      </c>
      <c r="D109" s="21">
        <f t="shared" si="13"/>
        <v>0</v>
      </c>
      <c r="E109" s="21">
        <f t="shared" si="13"/>
        <v>0</v>
      </c>
      <c r="F109" s="21">
        <f t="shared" si="13"/>
        <v>0</v>
      </c>
      <c r="G109" s="21">
        <f t="shared" si="13"/>
        <v>0</v>
      </c>
      <c r="H109" s="21">
        <f t="shared" si="13"/>
        <v>0.8</v>
      </c>
      <c r="I109" s="14"/>
      <c r="J109" s="18"/>
      <c r="K109" s="15"/>
    </row>
    <row r="110" spans="1:11" s="6" customFormat="1" ht="15" hidden="1" customHeight="1" x14ac:dyDescent="0.2">
      <c r="A110"/>
      <c r="B110" s="32" t="str">
        <f>B99</f>
        <v>2.5 - Skills Assessment</v>
      </c>
      <c r="C110" s="21">
        <f t="shared" ref="C110:H110" si="14">C99/$I99</f>
        <v>0</v>
      </c>
      <c r="D110" s="21">
        <f t="shared" si="14"/>
        <v>0</v>
      </c>
      <c r="E110" s="21">
        <f t="shared" si="14"/>
        <v>0</v>
      </c>
      <c r="F110" s="21">
        <f t="shared" si="14"/>
        <v>0</v>
      </c>
      <c r="G110" s="21">
        <f t="shared" si="14"/>
        <v>0</v>
      </c>
      <c r="H110" s="21">
        <f t="shared" si="14"/>
        <v>0.8</v>
      </c>
      <c r="I110" s="14"/>
      <c r="J110" s="18"/>
      <c r="K110" s="15"/>
    </row>
    <row r="111" spans="1:11" s="6" customFormat="1" ht="15" hidden="1" customHeight="1" x14ac:dyDescent="0.2">
      <c r="A111"/>
      <c r="B111" s="32" t="str">
        <f t="shared" ref="B111:B112" si="15">B100</f>
        <v>2.6 - Career Path</v>
      </c>
      <c r="C111" s="21">
        <f t="shared" ref="C111:H111" si="16">C100/$I100</f>
        <v>0</v>
      </c>
      <c r="D111" s="21">
        <f t="shared" si="16"/>
        <v>0</v>
      </c>
      <c r="E111" s="21">
        <f t="shared" si="16"/>
        <v>0</v>
      </c>
      <c r="F111" s="21">
        <f t="shared" si="16"/>
        <v>0</v>
      </c>
      <c r="G111" s="21">
        <f t="shared" si="16"/>
        <v>0</v>
      </c>
      <c r="H111" s="21">
        <f t="shared" si="16"/>
        <v>0.8</v>
      </c>
      <c r="I111" s="14"/>
      <c r="J111" s="18"/>
      <c r="K111" s="15"/>
    </row>
    <row r="112" spans="1:11" s="6" customFormat="1" ht="15" hidden="1" customHeight="1" thickBot="1" x14ac:dyDescent="0.25">
      <c r="A112"/>
      <c r="B112" s="32" t="str">
        <f t="shared" si="15"/>
        <v>2.7 - Leadership</v>
      </c>
      <c r="C112" s="21">
        <f t="shared" ref="C112:H112" si="17">C101/$I101</f>
        <v>0</v>
      </c>
      <c r="D112" s="21">
        <f t="shared" si="17"/>
        <v>0</v>
      </c>
      <c r="E112" s="21">
        <f t="shared" si="17"/>
        <v>0</v>
      </c>
      <c r="F112" s="21">
        <f t="shared" si="17"/>
        <v>0</v>
      </c>
      <c r="G112" s="21">
        <f t="shared" si="17"/>
        <v>0</v>
      </c>
      <c r="H112" s="21">
        <f t="shared" si="17"/>
        <v>0.8</v>
      </c>
      <c r="I112" s="14"/>
      <c r="J112" s="18"/>
      <c r="K112" s="15"/>
    </row>
    <row r="113" spans="1:11" s="45" customFormat="1" ht="15" hidden="1" customHeight="1" thickBot="1" x14ac:dyDescent="0.25">
      <c r="A113" s="178"/>
      <c r="B113" s="181" t="s">
        <v>166</v>
      </c>
      <c r="C113" s="21">
        <f t="shared" ref="C113:H113" si="18">C102/$I102</f>
        <v>0</v>
      </c>
      <c r="D113" s="21">
        <f t="shared" si="18"/>
        <v>0</v>
      </c>
      <c r="E113" s="21">
        <f t="shared" si="18"/>
        <v>0</v>
      </c>
      <c r="F113" s="21">
        <f t="shared" si="18"/>
        <v>0</v>
      </c>
      <c r="G113" s="21">
        <f t="shared" si="18"/>
        <v>0</v>
      </c>
      <c r="H113" s="21">
        <f t="shared" si="18"/>
        <v>0.8</v>
      </c>
      <c r="I113" s="52"/>
      <c r="J113" s="48"/>
      <c r="K113" s="49"/>
    </row>
  </sheetData>
  <sheetProtection formatCells="0" formatColumns="0" formatRows="0" insertColumns="0" insertRows="0" insertHyperlinks="0" deleteColumns="0" deleteRows="0" selectLockedCells="1" sort="0" autoFilter="0" pivotTables="0"/>
  <dataConsolidate/>
  <phoneticPr fontId="7" type="noConversion"/>
  <conditionalFormatting sqref="C5:C26">
    <cfRule type="cellIs" dxfId="344" priority="7" operator="equal">
      <formula>"Level 5 - Optimized"</formula>
    </cfRule>
    <cfRule type="cellIs" dxfId="343" priority="8" operator="equal">
      <formula>"Level 4 - Managed"</formula>
    </cfRule>
    <cfRule type="cellIs" dxfId="342" priority="9" operator="equal">
      <formula>"Level 3 - Defined"</formula>
    </cfRule>
    <cfRule type="cellIs" dxfId="341" priority="10" operator="equal">
      <formula>"Level 2 - Repeatable"</formula>
    </cfRule>
    <cfRule type="cellIs" dxfId="340" priority="11" operator="equal">
      <formula>"Level 1 - Initial"</formula>
    </cfRule>
    <cfRule type="cellIs" dxfId="339" priority="12" operator="equal">
      <formula>"Level 0 - Does not exist"</formula>
    </cfRule>
  </conditionalFormatting>
  <conditionalFormatting sqref="C28:C47">
    <cfRule type="cellIs" dxfId="338" priority="43" operator="equal">
      <formula>"Level 5 - Optimized"</formula>
    </cfRule>
    <cfRule type="cellIs" dxfId="337" priority="48" operator="equal">
      <formula>"Level 0 - Does not exist"</formula>
    </cfRule>
    <cfRule type="cellIs" dxfId="336" priority="47" operator="equal">
      <formula>"Level 1 - Initial"</formula>
    </cfRule>
    <cfRule type="cellIs" dxfId="335" priority="46" operator="equal">
      <formula>"Level 2 - Repeatable"</formula>
    </cfRule>
    <cfRule type="cellIs" dxfId="334" priority="45" operator="equal">
      <formula>"Level 3 - Defined"</formula>
    </cfRule>
    <cfRule type="cellIs" dxfId="333" priority="44" operator="equal">
      <formula>"Level 4 - Managed"</formula>
    </cfRule>
  </conditionalFormatting>
  <conditionalFormatting sqref="C49:C57">
    <cfRule type="cellIs" dxfId="332" priority="42" operator="equal">
      <formula>"Level 0 - Does not exist"</formula>
    </cfRule>
    <cfRule type="cellIs" dxfId="331" priority="41" operator="equal">
      <formula>"Level 1 - Initial"</formula>
    </cfRule>
    <cfRule type="cellIs" dxfId="330" priority="40" operator="equal">
      <formula>"Level 2 - Repeatable"</formula>
    </cfRule>
    <cfRule type="cellIs" dxfId="329" priority="39" operator="equal">
      <formula>"Level 3 - Defined"</formula>
    </cfRule>
    <cfRule type="cellIs" dxfId="328" priority="38" operator="equal">
      <formula>"Level 4 - Managed"</formula>
    </cfRule>
    <cfRule type="cellIs" dxfId="327" priority="37" operator="equal">
      <formula>"Level 5 - Optimized"</formula>
    </cfRule>
  </conditionalFormatting>
  <conditionalFormatting sqref="C59:C66">
    <cfRule type="cellIs" dxfId="326" priority="31" operator="equal">
      <formula>"Level 5 - Optimized"</formula>
    </cfRule>
    <cfRule type="cellIs" dxfId="325" priority="36" operator="equal">
      <formula>"Level 0 - Does not exist"</formula>
    </cfRule>
    <cfRule type="cellIs" dxfId="324" priority="35" operator="equal">
      <formula>"Level 1 - Initial"</formula>
    </cfRule>
    <cfRule type="cellIs" dxfId="323" priority="34" operator="equal">
      <formula>"Level 2 - Repeatable"</formula>
    </cfRule>
    <cfRule type="cellIs" dxfId="322" priority="33" operator="equal">
      <formula>"Level 3 - Defined"</formula>
    </cfRule>
    <cfRule type="cellIs" dxfId="321" priority="32" operator="equal">
      <formula>"Level 4 - Managed"</formula>
    </cfRule>
  </conditionalFormatting>
  <conditionalFormatting sqref="C68:C73">
    <cfRule type="cellIs" dxfId="320" priority="25" operator="equal">
      <formula>"Level 5 - Optimized"</formula>
    </cfRule>
    <cfRule type="cellIs" dxfId="319" priority="26" operator="equal">
      <formula>"Level 4 - Managed"</formula>
    </cfRule>
    <cfRule type="cellIs" dxfId="318" priority="27" operator="equal">
      <formula>"Level 3 - Defined"</formula>
    </cfRule>
    <cfRule type="cellIs" dxfId="317" priority="28" operator="equal">
      <formula>"Level 2 - Repeatable"</formula>
    </cfRule>
    <cfRule type="cellIs" dxfId="316" priority="29" operator="equal">
      <formula>"Level 1 - Initial"</formula>
    </cfRule>
    <cfRule type="cellIs" dxfId="315" priority="30" operator="equal">
      <formula>"Level 0 - Does not exist"</formula>
    </cfRule>
  </conditionalFormatting>
  <conditionalFormatting sqref="C75:C79">
    <cfRule type="cellIs" dxfId="314" priority="22" operator="equal">
      <formula>"Level 2 - Repeatable"</formula>
    </cfRule>
    <cfRule type="cellIs" dxfId="313" priority="24" operator="equal">
      <formula>"Level 0 - Does not exist"</formula>
    </cfRule>
    <cfRule type="cellIs" dxfId="312" priority="23" operator="equal">
      <formula>"Level 1 - Initial"</formula>
    </cfRule>
    <cfRule type="cellIs" dxfId="311" priority="21" operator="equal">
      <formula>"Level 3 - Defined"</formula>
    </cfRule>
    <cfRule type="cellIs" dxfId="310" priority="20" operator="equal">
      <formula>"Level 4 - Managed"</formula>
    </cfRule>
    <cfRule type="cellIs" dxfId="309" priority="19" operator="equal">
      <formula>"Level 5 - Optimized"</formula>
    </cfRule>
  </conditionalFormatting>
  <conditionalFormatting sqref="C81:C92">
    <cfRule type="cellIs" dxfId="308" priority="13" operator="equal">
      <formula>"Level 5 - Optimized"</formula>
    </cfRule>
    <cfRule type="cellIs" dxfId="307" priority="18" operator="equal">
      <formula>"Level 0 - Does not exist"</formula>
    </cfRule>
    <cfRule type="cellIs" dxfId="306" priority="17" operator="equal">
      <formula>"Level 1 - Initial"</formula>
    </cfRule>
    <cfRule type="cellIs" dxfId="305" priority="16" operator="equal">
      <formula>"Level 2 - Repeatable"</formula>
    </cfRule>
    <cfRule type="cellIs" dxfId="304" priority="15" operator="equal">
      <formula>"Level 3 - Defined"</formula>
    </cfRule>
    <cfRule type="cellIs" dxfId="303" priority="14" operator="equal">
      <formula>"Level 4 - Managed"</formula>
    </cfRule>
  </conditionalFormatting>
  <conditionalFormatting sqref="D5:I26 D28:I47">
    <cfRule type="cellIs" dxfId="302" priority="174" operator="equal">
      <formula>0</formula>
    </cfRule>
    <cfRule type="cellIs" dxfId="301" priority="169" operator="equal">
      <formula>5</formula>
    </cfRule>
    <cfRule type="cellIs" dxfId="300" priority="173" operator="equal">
      <formula>1</formula>
    </cfRule>
    <cfRule type="cellIs" dxfId="299" priority="172" operator="equal">
      <formula>2</formula>
    </cfRule>
    <cfRule type="cellIs" dxfId="298" priority="171" operator="equal">
      <formula>3</formula>
    </cfRule>
    <cfRule type="cellIs" dxfId="297" priority="170" operator="equal">
      <formula>4</formula>
    </cfRule>
  </conditionalFormatting>
  <conditionalFormatting sqref="D49:I57">
    <cfRule type="cellIs" dxfId="296" priority="156" operator="equal">
      <formula>0</formula>
    </cfRule>
    <cfRule type="cellIs" dxfId="295" priority="155" operator="equal">
      <formula>1</formula>
    </cfRule>
    <cfRule type="cellIs" dxfId="294" priority="154" operator="equal">
      <formula>2</formula>
    </cfRule>
    <cfRule type="cellIs" dxfId="293" priority="153" operator="equal">
      <formula>3</formula>
    </cfRule>
    <cfRule type="cellIs" dxfId="292" priority="152" operator="equal">
      <formula>4</formula>
    </cfRule>
    <cfRule type="cellIs" dxfId="291" priority="151" operator="equal">
      <formula>5</formula>
    </cfRule>
  </conditionalFormatting>
  <conditionalFormatting sqref="D59:I66">
    <cfRule type="cellIs" dxfId="290" priority="145" operator="equal">
      <formula>5</formula>
    </cfRule>
    <cfRule type="cellIs" dxfId="289" priority="150" operator="equal">
      <formula>0</formula>
    </cfRule>
    <cfRule type="cellIs" dxfId="288" priority="149" operator="equal">
      <formula>1</formula>
    </cfRule>
    <cfRule type="cellIs" dxfId="287" priority="148" operator="equal">
      <formula>2</formula>
    </cfRule>
    <cfRule type="cellIs" dxfId="286" priority="147" operator="equal">
      <formula>3</formula>
    </cfRule>
    <cfRule type="cellIs" dxfId="285" priority="146" operator="equal">
      <formula>4</formula>
    </cfRule>
  </conditionalFormatting>
  <conditionalFormatting sqref="D68:I73">
    <cfRule type="cellIs" dxfId="284" priority="139" operator="equal">
      <formula>5</formula>
    </cfRule>
    <cfRule type="cellIs" dxfId="283" priority="140" operator="equal">
      <formula>4</formula>
    </cfRule>
    <cfRule type="cellIs" dxfId="282" priority="141" operator="equal">
      <formula>3</formula>
    </cfRule>
    <cfRule type="cellIs" dxfId="281" priority="142" operator="equal">
      <formula>2</formula>
    </cfRule>
    <cfRule type="cellIs" dxfId="280" priority="143" operator="equal">
      <formula>1</formula>
    </cfRule>
    <cfRule type="cellIs" dxfId="279" priority="144" operator="equal">
      <formula>0</formula>
    </cfRule>
  </conditionalFormatting>
  <conditionalFormatting sqref="D75:I79">
    <cfRule type="cellIs" dxfId="278" priority="138" operator="equal">
      <formula>0</formula>
    </cfRule>
    <cfRule type="cellIs" dxfId="277" priority="137" operator="equal">
      <formula>1</formula>
    </cfRule>
    <cfRule type="cellIs" dxfId="276" priority="136" operator="equal">
      <formula>2</formula>
    </cfRule>
    <cfRule type="cellIs" dxfId="275" priority="135" operator="equal">
      <formula>3</formula>
    </cfRule>
    <cfRule type="cellIs" dxfId="274" priority="134" operator="equal">
      <formula>4</formula>
    </cfRule>
    <cfRule type="cellIs" dxfId="273" priority="133" operator="equal">
      <formula>5</formula>
    </cfRule>
  </conditionalFormatting>
  <conditionalFormatting sqref="D81:I92">
    <cfRule type="cellIs" dxfId="272" priority="127" operator="equal">
      <formula>5</formula>
    </cfRule>
    <cfRule type="cellIs" dxfId="271" priority="132" operator="equal">
      <formula>0</formula>
    </cfRule>
    <cfRule type="cellIs" dxfId="270" priority="131" operator="equal">
      <formula>1</formula>
    </cfRule>
    <cfRule type="cellIs" dxfId="269" priority="130" operator="equal">
      <formula>2</formula>
    </cfRule>
    <cfRule type="cellIs" dxfId="268" priority="129" operator="equal">
      <formula>3</formula>
    </cfRule>
    <cfRule type="cellIs" dxfId="267" priority="128" operator="equal">
      <formula>4</formula>
    </cfRule>
  </conditionalFormatting>
  <conditionalFormatting sqref="R21">
    <cfRule type="cellIs" dxfId="266" priority="6" operator="equal">
      <formula>"Level 0 - Does not exist"</formula>
    </cfRule>
    <cfRule type="cellIs" dxfId="265" priority="2" operator="equal">
      <formula>"Level 4 - Managed"</formula>
    </cfRule>
    <cfRule type="cellIs" dxfId="264" priority="3" operator="equal">
      <formula>"Level 3 - Defined"</formula>
    </cfRule>
    <cfRule type="cellIs" dxfId="263" priority="4" operator="equal">
      <formula>"Level 2 - Repeatable"</formula>
    </cfRule>
    <cfRule type="cellIs" dxfId="262" priority="5" operator="equal">
      <formula>"Level 1 - Initial"</formula>
    </cfRule>
    <cfRule type="cellIs" dxfId="261" priority="1" operator="equal">
      <formula>"Level 5 - Optimized"</formula>
    </cfRule>
  </conditionalFormatting>
  <dataValidations count="1">
    <dataValidation type="list" allowBlank="1" showInputMessage="1" showErrorMessage="1" sqref="I28:I47 I81:I92 I49:I57 I68:I73 I59:I66 I5:I26" xr:uid="{00000000-0002-0000-0600-000000000000}">
      <formula1>$B$5:$B$10</formula1>
    </dataValidation>
  </dataValidations>
  <pageMargins left="0.7" right="0.7" top="0.75" bottom="0.75" header="0.3" footer="0.3"/>
  <pageSetup scale="95" fitToHeight="0" orientation="portrait" horizontalDpi="300" verticalDpi="300"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600-000001000000}">
          <x14:formula1>
            <xm:f>'CoBIT maturity key'!$B$4:$B$9</xm:f>
          </x14:formula1>
          <xm:sqref>I75:I79 D5:H92 C80 C74 C67 C58 C27 C48</xm:sqref>
        </x14:dataValidation>
        <x14:dataValidation type="list" allowBlank="1" showInputMessage="1" showErrorMessage="1" xr:uid="{00000000-0002-0000-0600-000002000000}">
          <x14:formula1>
            <xm:f>'CoBIT maturity key'!$A$4:$A$9</xm:f>
          </x14:formula1>
          <xm:sqref>C5:C26 C28:C47 C49:C57 C59:C66 C68:C73 C75:C79 C81:C92 R21</xm:sqref>
        </x14:dataValidation>
      </x14:dataValidations>
    </ext>
    <ext xmlns:mx="http://schemas.microsoft.com/office/mac/excel/2008/main" uri="{64002731-A6B0-56B0-2670-7721B7C09600}">
      <mx:PLV Mode="0" OnePage="0" WScale="0"/>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92D050"/>
    <pageSetUpPr fitToPage="1"/>
  </sheetPr>
  <dimension ref="A1:AB204"/>
  <sheetViews>
    <sheetView zoomScaleNormal="100" zoomScalePageLayoutView="125" workbookViewId="0">
      <pane ySplit="3" topLeftCell="A6" activePane="bottomLeft" state="frozen"/>
      <selection pane="bottomLeft" activeCell="R43" sqref="R43"/>
    </sheetView>
  </sheetViews>
  <sheetFormatPr baseColWidth="10" defaultColWidth="8.83203125" defaultRowHeight="15" x14ac:dyDescent="0.2"/>
  <cols>
    <col min="1" max="1" width="6.5" customWidth="1"/>
    <col min="2" max="2" width="86.5" style="180" customWidth="1"/>
    <col min="3" max="3" width="14.5" style="6" customWidth="1"/>
    <col min="4" max="6" width="12.5" style="6" hidden="1" customWidth="1"/>
    <col min="7" max="7" width="14.5" style="6" hidden="1" customWidth="1"/>
    <col min="8" max="8" width="17.5" style="6" hidden="1" customWidth="1"/>
    <col min="9" max="9" width="14.1640625" style="6" hidden="1" customWidth="1"/>
    <col min="10" max="10" width="51" style="18" hidden="1" customWidth="1"/>
    <col min="11" max="11" width="63.5" style="15" hidden="1" customWidth="1"/>
    <col min="12" max="12" width="11.1640625" style="6" hidden="1" customWidth="1"/>
    <col min="13" max="17" width="0" style="6" hidden="1" customWidth="1"/>
    <col min="18" max="18" width="45.5" style="6" customWidth="1"/>
    <col min="19" max="16384" width="8.83203125" style="6"/>
  </cols>
  <sheetData>
    <row r="1" spans="1:26" s="25" customFormat="1" ht="24.75" customHeight="1" x14ac:dyDescent="0.2">
      <c r="A1" s="23"/>
      <c r="B1" s="182"/>
    </row>
    <row r="2" spans="1:26" s="30" customFormat="1" ht="22.5" customHeight="1" x14ac:dyDescent="0.2">
      <c r="A2" s="173" t="s">
        <v>380</v>
      </c>
      <c r="B2" s="173"/>
      <c r="J2" s="31"/>
      <c r="K2" s="31"/>
    </row>
    <row r="3" spans="1:26" s="26" customFormat="1" ht="16.5" customHeight="1" x14ac:dyDescent="0.2">
      <c r="A3" s="174" t="s">
        <v>71</v>
      </c>
      <c r="B3" s="174" t="s">
        <v>72</v>
      </c>
      <c r="C3" s="27" t="s">
        <v>73</v>
      </c>
      <c r="D3" s="27" t="s">
        <v>4</v>
      </c>
      <c r="E3" s="27" t="s">
        <v>5</v>
      </c>
      <c r="F3" s="27" t="s">
        <v>74</v>
      </c>
      <c r="G3" s="27" t="s">
        <v>4</v>
      </c>
      <c r="H3" s="27" t="s">
        <v>5</v>
      </c>
      <c r="I3" s="27" t="s">
        <v>74</v>
      </c>
      <c r="R3" s="26" t="s">
        <v>75</v>
      </c>
    </row>
    <row r="4" spans="1:26" s="29" customFormat="1" ht="19.5" customHeight="1" x14ac:dyDescent="0.2">
      <c r="A4" s="28" t="s">
        <v>381</v>
      </c>
      <c r="B4" s="28"/>
    </row>
    <row r="5" spans="1:26" s="34" customFormat="1" ht="21" customHeight="1" x14ac:dyDescent="0.2">
      <c r="A5" s="39" t="s">
        <v>382</v>
      </c>
      <c r="B5" s="32" t="s">
        <v>383</v>
      </c>
      <c r="C5" s="197" t="s">
        <v>79</v>
      </c>
      <c r="D5" s="36"/>
      <c r="E5" s="36"/>
      <c r="F5" s="36"/>
      <c r="G5" s="36"/>
      <c r="H5" s="4">
        <v>4</v>
      </c>
      <c r="I5" s="4">
        <v>5</v>
      </c>
      <c r="J5" s="33" t="s">
        <v>99</v>
      </c>
      <c r="K5" s="33"/>
      <c r="R5" s="114" t="s">
        <v>384</v>
      </c>
      <c r="S5" s="114"/>
      <c r="T5" s="114"/>
      <c r="U5" s="114"/>
      <c r="V5" s="114"/>
      <c r="W5" s="32"/>
      <c r="X5" s="32"/>
      <c r="Y5" s="32"/>
      <c r="Z5" s="32"/>
    </row>
    <row r="6" spans="1:26" s="38" customFormat="1" ht="21" customHeight="1" x14ac:dyDescent="0.2">
      <c r="A6" s="35" t="s">
        <v>385</v>
      </c>
      <c r="B6" s="40" t="s">
        <v>386</v>
      </c>
      <c r="C6" s="197" t="s">
        <v>79</v>
      </c>
      <c r="D6" s="36"/>
      <c r="E6" s="36"/>
      <c r="F6" s="36"/>
      <c r="G6" s="36"/>
      <c r="H6" s="36">
        <v>4</v>
      </c>
      <c r="I6" s="36">
        <v>5</v>
      </c>
      <c r="J6" s="41"/>
      <c r="K6" s="37" t="s">
        <v>102</v>
      </c>
      <c r="R6" s="114"/>
      <c r="S6" s="114"/>
      <c r="T6" s="114"/>
      <c r="U6" s="114"/>
      <c r="V6" s="114"/>
      <c r="W6" s="32"/>
      <c r="X6" s="32"/>
      <c r="Y6" s="32"/>
      <c r="Z6" s="32"/>
    </row>
    <row r="7" spans="1:26" s="34" customFormat="1" ht="21" customHeight="1" x14ac:dyDescent="0.2">
      <c r="A7" s="39" t="s">
        <v>387</v>
      </c>
      <c r="B7" s="32" t="s">
        <v>388</v>
      </c>
      <c r="C7" s="197" t="s">
        <v>79</v>
      </c>
      <c r="D7" s="36"/>
      <c r="E7" s="36"/>
      <c r="F7" s="36"/>
      <c r="G7" s="36"/>
      <c r="H7" s="4">
        <v>4</v>
      </c>
      <c r="I7" s="4">
        <v>5</v>
      </c>
      <c r="J7" s="33"/>
      <c r="K7" s="33"/>
      <c r="R7" s="114" t="s">
        <v>389</v>
      </c>
      <c r="S7" s="114"/>
      <c r="T7" s="114"/>
      <c r="U7" s="114"/>
      <c r="V7" s="114"/>
      <c r="W7" s="32"/>
      <c r="X7" s="32"/>
      <c r="Y7" s="32"/>
      <c r="Z7" s="32"/>
    </row>
    <row r="8" spans="1:26" s="38" customFormat="1" ht="21" customHeight="1" x14ac:dyDescent="0.2">
      <c r="A8" s="35" t="s">
        <v>390</v>
      </c>
      <c r="B8" s="40" t="s">
        <v>391</v>
      </c>
      <c r="C8" s="197" t="s">
        <v>79</v>
      </c>
      <c r="D8" s="36"/>
      <c r="E8" s="36"/>
      <c r="F8" s="36"/>
      <c r="G8" s="36"/>
      <c r="H8" s="36">
        <v>4</v>
      </c>
      <c r="I8" s="36">
        <v>5</v>
      </c>
      <c r="J8" s="37"/>
      <c r="K8" s="37"/>
      <c r="R8" s="114" t="s">
        <v>392</v>
      </c>
      <c r="S8" s="114"/>
      <c r="T8" s="114"/>
      <c r="U8" s="114"/>
      <c r="V8" s="114"/>
      <c r="W8" s="32"/>
      <c r="X8" s="32"/>
      <c r="Y8" s="32"/>
      <c r="Z8" s="32"/>
    </row>
    <row r="9" spans="1:26" s="34" customFormat="1" ht="21" customHeight="1" x14ac:dyDescent="0.2">
      <c r="A9" s="39" t="s">
        <v>393</v>
      </c>
      <c r="B9" s="32" t="s">
        <v>394</v>
      </c>
      <c r="C9" s="197" t="s">
        <v>373</v>
      </c>
      <c r="D9" s="36"/>
      <c r="E9" s="36"/>
      <c r="F9" s="36"/>
      <c r="G9" s="36"/>
      <c r="H9" s="4">
        <v>4</v>
      </c>
      <c r="I9" s="4">
        <v>5</v>
      </c>
      <c r="J9" s="33"/>
      <c r="K9" s="33"/>
      <c r="R9" s="114"/>
      <c r="S9" s="114"/>
      <c r="T9" s="114"/>
      <c r="U9" s="114"/>
      <c r="V9" s="114"/>
      <c r="W9" s="32"/>
      <c r="X9" s="32"/>
      <c r="Y9" s="32"/>
      <c r="Z9" s="32"/>
    </row>
    <row r="10" spans="1:26" s="38" customFormat="1" ht="21" customHeight="1" x14ac:dyDescent="0.2">
      <c r="A10" s="35" t="s">
        <v>395</v>
      </c>
      <c r="B10" s="40" t="s">
        <v>396</v>
      </c>
      <c r="C10" s="197" t="s">
        <v>370</v>
      </c>
      <c r="D10" s="36"/>
      <c r="E10" s="36"/>
      <c r="F10" s="36"/>
      <c r="G10" s="36"/>
      <c r="H10" s="36">
        <v>4</v>
      </c>
      <c r="I10" s="36">
        <v>5</v>
      </c>
      <c r="J10" s="37" t="s">
        <v>397</v>
      </c>
      <c r="K10" s="37" t="s">
        <v>398</v>
      </c>
      <c r="R10" s="114"/>
      <c r="S10" s="114"/>
      <c r="T10" s="114"/>
      <c r="U10" s="114"/>
      <c r="V10" s="114"/>
      <c r="W10" s="32"/>
      <c r="X10" s="32"/>
      <c r="Y10" s="32"/>
      <c r="Z10" s="32"/>
    </row>
    <row r="11" spans="1:26" s="34" customFormat="1" ht="21" customHeight="1" x14ac:dyDescent="0.2">
      <c r="A11" s="39" t="s">
        <v>399</v>
      </c>
      <c r="B11" s="32" t="s">
        <v>400</v>
      </c>
      <c r="C11" s="197" t="s">
        <v>373</v>
      </c>
      <c r="D11" s="36"/>
      <c r="E11" s="36"/>
      <c r="F11" s="36"/>
      <c r="G11" s="36"/>
      <c r="H11" s="4">
        <v>4</v>
      </c>
      <c r="I11" s="4">
        <v>5</v>
      </c>
      <c r="J11" s="33"/>
      <c r="K11" s="33"/>
      <c r="R11" s="114"/>
      <c r="S11" s="114"/>
      <c r="T11" s="114"/>
      <c r="U11" s="114"/>
      <c r="V11" s="114"/>
      <c r="W11" s="32"/>
      <c r="X11" s="32"/>
      <c r="Y11" s="32"/>
      <c r="Z11" s="32"/>
    </row>
    <row r="12" spans="1:26" s="38" customFormat="1" ht="21" customHeight="1" x14ac:dyDescent="0.2">
      <c r="A12" s="35" t="s">
        <v>401</v>
      </c>
      <c r="B12" s="40" t="s">
        <v>402</v>
      </c>
      <c r="C12" s="197" t="s">
        <v>79</v>
      </c>
      <c r="D12" s="36"/>
      <c r="E12" s="36"/>
      <c r="F12" s="36"/>
      <c r="G12" s="36"/>
      <c r="H12" s="36">
        <v>4</v>
      </c>
      <c r="I12" s="36">
        <v>5</v>
      </c>
      <c r="J12" s="37"/>
      <c r="K12" s="37" t="s">
        <v>403</v>
      </c>
      <c r="R12" s="114" t="s">
        <v>404</v>
      </c>
      <c r="S12" s="114"/>
      <c r="T12" s="114"/>
      <c r="U12" s="114"/>
      <c r="V12" s="114"/>
      <c r="W12" s="32"/>
      <c r="X12" s="32"/>
      <c r="Y12" s="32"/>
      <c r="Z12" s="32"/>
    </row>
    <row r="13" spans="1:26" s="34" customFormat="1" ht="21" customHeight="1" x14ac:dyDescent="0.2">
      <c r="A13" s="39" t="s">
        <v>405</v>
      </c>
      <c r="B13" s="32" t="s">
        <v>406</v>
      </c>
      <c r="C13" s="197" t="s">
        <v>79</v>
      </c>
      <c r="D13" s="36"/>
      <c r="E13" s="36"/>
      <c r="F13" s="36"/>
      <c r="G13" s="36"/>
      <c r="H13" s="4">
        <v>4</v>
      </c>
      <c r="I13" s="4">
        <v>5</v>
      </c>
      <c r="J13" s="33" t="s">
        <v>407</v>
      </c>
      <c r="K13" s="33"/>
      <c r="R13" s="114" t="s">
        <v>408</v>
      </c>
      <c r="S13" s="114"/>
      <c r="T13" s="114"/>
      <c r="U13" s="114"/>
      <c r="V13" s="114"/>
      <c r="W13" s="32"/>
      <c r="X13" s="32"/>
      <c r="Y13" s="32"/>
      <c r="Z13" s="32"/>
    </row>
    <row r="14" spans="1:26" s="38" customFormat="1" ht="21" customHeight="1" x14ac:dyDescent="0.2">
      <c r="A14" s="35" t="s">
        <v>409</v>
      </c>
      <c r="B14" s="40" t="s">
        <v>410</v>
      </c>
      <c r="C14" s="197" t="s">
        <v>79</v>
      </c>
      <c r="D14" s="36"/>
      <c r="E14" s="36"/>
      <c r="F14" s="36"/>
      <c r="G14" s="36"/>
      <c r="H14" s="36">
        <v>4</v>
      </c>
      <c r="I14" s="36">
        <v>5</v>
      </c>
      <c r="J14" s="37"/>
      <c r="K14" s="37"/>
      <c r="R14" s="114" t="s">
        <v>408</v>
      </c>
      <c r="S14" s="114"/>
      <c r="T14" s="114"/>
      <c r="U14" s="114"/>
      <c r="V14" s="114"/>
      <c r="W14" s="32"/>
      <c r="X14" s="32"/>
      <c r="Y14" s="32"/>
      <c r="Z14" s="32"/>
    </row>
    <row r="15" spans="1:26" s="34" customFormat="1" ht="21" customHeight="1" x14ac:dyDescent="0.2">
      <c r="A15" s="39" t="s">
        <v>411</v>
      </c>
      <c r="B15" s="32" t="s">
        <v>412</v>
      </c>
      <c r="C15" s="197" t="s">
        <v>79</v>
      </c>
      <c r="D15" s="36"/>
      <c r="E15" s="36"/>
      <c r="F15" s="36"/>
      <c r="G15" s="36"/>
      <c r="H15" s="4">
        <v>4</v>
      </c>
      <c r="I15" s="4">
        <v>5</v>
      </c>
      <c r="J15" s="33"/>
      <c r="K15" s="33"/>
      <c r="R15" s="114" t="s">
        <v>408</v>
      </c>
      <c r="S15" s="114"/>
      <c r="T15" s="114"/>
      <c r="U15" s="114"/>
      <c r="V15" s="114"/>
      <c r="W15" s="32"/>
      <c r="X15" s="32"/>
      <c r="Y15" s="32"/>
      <c r="Z15" s="32"/>
    </row>
    <row r="16" spans="1:26" s="38" customFormat="1" ht="21" customHeight="1" x14ac:dyDescent="0.2">
      <c r="A16" s="35" t="s">
        <v>413</v>
      </c>
      <c r="B16" s="40" t="s">
        <v>414</v>
      </c>
      <c r="C16" s="197" t="s">
        <v>79</v>
      </c>
      <c r="D16" s="36"/>
      <c r="E16" s="36"/>
      <c r="F16" s="36"/>
      <c r="G16" s="36"/>
      <c r="H16" s="36">
        <v>4</v>
      </c>
      <c r="I16" s="36">
        <v>5</v>
      </c>
      <c r="J16" s="37"/>
      <c r="K16" s="37"/>
      <c r="R16" s="114" t="s">
        <v>408</v>
      </c>
      <c r="S16" s="114"/>
      <c r="T16" s="114"/>
      <c r="U16" s="114"/>
      <c r="V16" s="114"/>
      <c r="W16" s="32"/>
      <c r="X16" s="32"/>
      <c r="Y16" s="32"/>
      <c r="Z16" s="32"/>
    </row>
    <row r="17" spans="1:26" s="34" customFormat="1" ht="21" customHeight="1" x14ac:dyDescent="0.2">
      <c r="A17" s="39" t="s">
        <v>415</v>
      </c>
      <c r="B17" s="32" t="s">
        <v>416</v>
      </c>
      <c r="C17" s="197" t="s">
        <v>79</v>
      </c>
      <c r="D17" s="36"/>
      <c r="E17" s="36"/>
      <c r="F17" s="36"/>
      <c r="G17" s="36"/>
      <c r="H17" s="4">
        <v>4</v>
      </c>
      <c r="I17" s="4">
        <v>5</v>
      </c>
      <c r="J17" s="33" t="s">
        <v>407</v>
      </c>
      <c r="K17" s="33"/>
      <c r="R17" s="114" t="s">
        <v>408</v>
      </c>
      <c r="S17" s="114"/>
      <c r="T17" s="114"/>
      <c r="U17" s="114"/>
      <c r="V17" s="114"/>
      <c r="W17" s="32"/>
      <c r="X17" s="32"/>
      <c r="Y17" s="32"/>
      <c r="Z17" s="32"/>
    </row>
    <row r="18" spans="1:26" s="38" customFormat="1" ht="21" customHeight="1" x14ac:dyDescent="0.2">
      <c r="A18" s="35" t="s">
        <v>417</v>
      </c>
      <c r="B18" s="216" t="s">
        <v>418</v>
      </c>
      <c r="C18" s="197"/>
      <c r="D18" s="36"/>
      <c r="E18" s="36"/>
      <c r="F18" s="36"/>
      <c r="G18" s="36"/>
      <c r="H18" s="36">
        <v>4</v>
      </c>
      <c r="I18" s="36">
        <v>5</v>
      </c>
      <c r="J18" s="37"/>
      <c r="K18" s="37" t="s">
        <v>419</v>
      </c>
      <c r="R18" s="114"/>
      <c r="S18" s="114"/>
      <c r="T18" s="114"/>
      <c r="U18" s="114"/>
      <c r="V18" s="114"/>
      <c r="W18" s="32"/>
      <c r="X18" s="32"/>
      <c r="Y18" s="32"/>
      <c r="Z18" s="32"/>
    </row>
    <row r="19" spans="1:26" s="34" customFormat="1" ht="21" customHeight="1" x14ac:dyDescent="0.2">
      <c r="A19" s="39" t="s">
        <v>420</v>
      </c>
      <c r="B19" s="32" t="s">
        <v>421</v>
      </c>
      <c r="C19" s="197" t="s">
        <v>98</v>
      </c>
      <c r="D19" s="36"/>
      <c r="E19" s="36"/>
      <c r="F19" s="36"/>
      <c r="G19" s="36"/>
      <c r="H19" s="4">
        <v>4</v>
      </c>
      <c r="I19" s="4">
        <v>5</v>
      </c>
      <c r="J19" s="33"/>
      <c r="K19" s="33" t="s">
        <v>422</v>
      </c>
      <c r="R19" s="114"/>
      <c r="S19" s="114"/>
      <c r="T19" s="114"/>
      <c r="U19" s="114"/>
      <c r="V19" s="114"/>
      <c r="W19" s="32"/>
      <c r="X19" s="32"/>
      <c r="Y19" s="32"/>
      <c r="Z19" s="32"/>
    </row>
    <row r="20" spans="1:26" s="38" customFormat="1" ht="21" customHeight="1" x14ac:dyDescent="0.2">
      <c r="A20" s="35" t="s">
        <v>423</v>
      </c>
      <c r="B20" s="40" t="s">
        <v>424</v>
      </c>
      <c r="C20" s="197" t="s">
        <v>98</v>
      </c>
      <c r="D20" s="36"/>
      <c r="E20" s="36"/>
      <c r="F20" s="36"/>
      <c r="G20" s="36"/>
      <c r="H20" s="36">
        <v>4</v>
      </c>
      <c r="I20" s="36">
        <v>5</v>
      </c>
      <c r="J20" s="37" t="s">
        <v>425</v>
      </c>
      <c r="K20" s="37"/>
      <c r="R20" s="114"/>
      <c r="S20" s="114"/>
      <c r="T20" s="114"/>
      <c r="U20" s="114"/>
      <c r="V20" s="114"/>
      <c r="W20" s="32"/>
      <c r="X20" s="32"/>
      <c r="Y20" s="32"/>
      <c r="Z20" s="32"/>
    </row>
    <row r="21" spans="1:26" s="34" customFormat="1" ht="21" customHeight="1" x14ac:dyDescent="0.2">
      <c r="A21" s="39" t="s">
        <v>426</v>
      </c>
      <c r="B21" s="32" t="s">
        <v>427</v>
      </c>
      <c r="C21" s="197" t="s">
        <v>98</v>
      </c>
      <c r="D21" s="36"/>
      <c r="E21" s="36"/>
      <c r="F21" s="36"/>
      <c r="G21" s="36"/>
      <c r="H21" s="4">
        <v>4</v>
      </c>
      <c r="I21" s="4">
        <v>5</v>
      </c>
      <c r="J21" s="33" t="s">
        <v>428</v>
      </c>
      <c r="K21" s="33"/>
      <c r="R21" s="114"/>
      <c r="S21" s="114"/>
      <c r="T21" s="114"/>
      <c r="U21" s="114"/>
      <c r="V21" s="114"/>
      <c r="W21" s="32"/>
      <c r="X21" s="32"/>
      <c r="Y21" s="32"/>
      <c r="Z21" s="32"/>
    </row>
    <row r="22" spans="1:26" s="38" customFormat="1" ht="21" customHeight="1" x14ac:dyDescent="0.2">
      <c r="A22" s="35" t="s">
        <v>429</v>
      </c>
      <c r="B22" s="35" t="s">
        <v>430</v>
      </c>
      <c r="C22" s="197" t="s">
        <v>98</v>
      </c>
      <c r="D22" s="36"/>
      <c r="E22" s="36"/>
      <c r="F22" s="36"/>
      <c r="G22" s="36"/>
      <c r="H22" s="36">
        <v>4</v>
      </c>
      <c r="I22" s="36">
        <v>5</v>
      </c>
      <c r="J22" s="37" t="s">
        <v>431</v>
      </c>
      <c r="K22" s="37"/>
      <c r="R22" s="114"/>
      <c r="S22" s="114"/>
      <c r="T22" s="114"/>
      <c r="U22" s="114"/>
      <c r="V22" s="114"/>
      <c r="W22" s="32"/>
      <c r="X22" s="32"/>
      <c r="Y22" s="32"/>
      <c r="Z22" s="32"/>
    </row>
    <row r="23" spans="1:26" s="34" customFormat="1" ht="21" customHeight="1" x14ac:dyDescent="0.2">
      <c r="A23" s="39" t="s">
        <v>432</v>
      </c>
      <c r="B23" s="32" t="s">
        <v>433</v>
      </c>
      <c r="C23" s="197" t="s">
        <v>373</v>
      </c>
      <c r="D23" s="36"/>
      <c r="E23" s="36"/>
      <c r="F23" s="36"/>
      <c r="G23" s="36"/>
      <c r="H23" s="4">
        <v>4</v>
      </c>
      <c r="I23" s="4">
        <v>5</v>
      </c>
      <c r="J23" s="33" t="s">
        <v>434</v>
      </c>
      <c r="K23" s="33"/>
      <c r="R23" s="114" t="s">
        <v>435</v>
      </c>
      <c r="S23" s="114"/>
      <c r="T23" s="114"/>
      <c r="U23" s="114"/>
      <c r="V23" s="114"/>
      <c r="W23" s="32"/>
      <c r="X23" s="32"/>
      <c r="Y23" s="32"/>
      <c r="Z23" s="32"/>
    </row>
    <row r="24" spans="1:26" s="38" customFormat="1" ht="21" customHeight="1" x14ac:dyDescent="0.2">
      <c r="A24" s="35" t="s">
        <v>436</v>
      </c>
      <c r="B24" s="40" t="s">
        <v>437</v>
      </c>
      <c r="C24" s="197" t="s">
        <v>373</v>
      </c>
      <c r="D24" s="36"/>
      <c r="E24" s="36"/>
      <c r="F24" s="36"/>
      <c r="G24" s="36"/>
      <c r="H24" s="36">
        <v>4</v>
      </c>
      <c r="I24" s="36">
        <v>5</v>
      </c>
      <c r="J24" s="37" t="s">
        <v>434</v>
      </c>
      <c r="K24" s="37"/>
      <c r="R24" s="117" t="s">
        <v>438</v>
      </c>
      <c r="S24" s="114"/>
      <c r="T24" s="114"/>
      <c r="U24" s="114"/>
      <c r="V24" s="114"/>
      <c r="W24" s="32"/>
      <c r="X24" s="32"/>
      <c r="Y24" s="32"/>
      <c r="Z24" s="32"/>
    </row>
    <row r="25" spans="1:26" s="34" customFormat="1" ht="21" customHeight="1" x14ac:dyDescent="0.2">
      <c r="A25" s="39" t="s">
        <v>439</v>
      </c>
      <c r="B25" s="32" t="s">
        <v>440</v>
      </c>
      <c r="C25" s="197" t="s">
        <v>370</v>
      </c>
      <c r="D25" s="36"/>
      <c r="E25" s="36"/>
      <c r="F25" s="36"/>
      <c r="G25" s="36"/>
      <c r="H25" s="4">
        <v>4</v>
      </c>
      <c r="I25" s="4">
        <v>5</v>
      </c>
      <c r="J25" s="33" t="s">
        <v>434</v>
      </c>
      <c r="K25" s="33"/>
      <c r="R25" s="117" t="s">
        <v>441</v>
      </c>
      <c r="S25" s="114"/>
      <c r="T25" s="114"/>
      <c r="U25" s="114"/>
      <c r="V25" s="114"/>
      <c r="W25" s="32"/>
      <c r="X25" s="32"/>
      <c r="Y25" s="32"/>
      <c r="Z25" s="32"/>
    </row>
    <row r="26" spans="1:26" s="38" customFormat="1" ht="21" customHeight="1" x14ac:dyDescent="0.2">
      <c r="A26" s="35" t="s">
        <v>442</v>
      </c>
      <c r="B26" s="40" t="s">
        <v>443</v>
      </c>
      <c r="C26" s="197" t="s">
        <v>364</v>
      </c>
      <c r="D26" s="36"/>
      <c r="E26" s="36"/>
      <c r="F26" s="36"/>
      <c r="G26" s="36"/>
      <c r="H26" s="36">
        <v>4</v>
      </c>
      <c r="I26" s="36">
        <v>5</v>
      </c>
      <c r="J26" s="37" t="s">
        <v>434</v>
      </c>
      <c r="K26" s="37"/>
      <c r="R26" s="114"/>
      <c r="S26" s="114"/>
      <c r="T26" s="114"/>
      <c r="U26" s="114"/>
      <c r="V26" s="114"/>
      <c r="W26" s="32"/>
      <c r="X26" s="32"/>
      <c r="Y26" s="32"/>
      <c r="Z26" s="32"/>
    </row>
    <row r="27" spans="1:26" s="34" customFormat="1" ht="21" customHeight="1" x14ac:dyDescent="0.2">
      <c r="A27" s="39" t="s">
        <v>444</v>
      </c>
      <c r="B27" s="32" t="s">
        <v>445</v>
      </c>
      <c r="C27" s="197" t="s">
        <v>364</v>
      </c>
      <c r="D27" s="36"/>
      <c r="E27" s="36"/>
      <c r="F27" s="36"/>
      <c r="G27" s="36"/>
      <c r="H27" s="4">
        <v>4</v>
      </c>
      <c r="I27" s="4">
        <v>5</v>
      </c>
      <c r="J27" s="33" t="s">
        <v>434</v>
      </c>
      <c r="K27" s="33"/>
      <c r="R27" s="114"/>
      <c r="S27" s="114"/>
      <c r="T27" s="114"/>
      <c r="U27" s="114"/>
      <c r="V27" s="114"/>
      <c r="W27" s="32"/>
      <c r="X27" s="32"/>
      <c r="Y27" s="32"/>
      <c r="Z27" s="32"/>
    </row>
    <row r="28" spans="1:26" s="38" customFormat="1" ht="21" customHeight="1" x14ac:dyDescent="0.2">
      <c r="A28" s="35" t="s">
        <v>446</v>
      </c>
      <c r="B28" s="35" t="s">
        <v>447</v>
      </c>
      <c r="C28" s="197" t="s">
        <v>98</v>
      </c>
      <c r="D28" s="36"/>
      <c r="E28" s="36"/>
      <c r="F28" s="36"/>
      <c r="G28" s="36"/>
      <c r="H28" s="36">
        <v>4</v>
      </c>
      <c r="I28" s="36">
        <v>5</v>
      </c>
      <c r="J28" s="37" t="s">
        <v>434</v>
      </c>
      <c r="K28" s="37"/>
      <c r="R28" s="114"/>
      <c r="S28" s="114"/>
      <c r="T28" s="114"/>
      <c r="U28" s="114"/>
      <c r="V28" s="114"/>
      <c r="W28" s="32"/>
      <c r="X28" s="32"/>
      <c r="Y28" s="32"/>
      <c r="Z28" s="32"/>
    </row>
    <row r="29" spans="1:26" s="34" customFormat="1" ht="21" customHeight="1" x14ac:dyDescent="0.2">
      <c r="A29" s="39" t="s">
        <v>448</v>
      </c>
      <c r="B29" s="32" t="s">
        <v>449</v>
      </c>
      <c r="C29" s="197" t="s">
        <v>98</v>
      </c>
      <c r="D29" s="36"/>
      <c r="E29" s="36"/>
      <c r="F29" s="36"/>
      <c r="G29" s="36"/>
      <c r="H29" s="4">
        <v>4</v>
      </c>
      <c r="I29" s="4">
        <v>5</v>
      </c>
      <c r="J29" s="33" t="s">
        <v>434</v>
      </c>
      <c r="K29" s="33"/>
      <c r="R29" s="114"/>
      <c r="S29" s="114"/>
      <c r="T29" s="114"/>
      <c r="U29" s="114"/>
      <c r="V29" s="114"/>
      <c r="W29" s="32"/>
      <c r="X29" s="32"/>
      <c r="Y29" s="32"/>
      <c r="Z29" s="32"/>
    </row>
    <row r="30" spans="1:26" s="38" customFormat="1" ht="21" customHeight="1" x14ac:dyDescent="0.2">
      <c r="A30" s="35" t="s">
        <v>450</v>
      </c>
      <c r="B30" s="40" t="s">
        <v>451</v>
      </c>
      <c r="C30" s="197" t="s">
        <v>98</v>
      </c>
      <c r="D30" s="36"/>
      <c r="E30" s="36"/>
      <c r="F30" s="36"/>
      <c r="G30" s="36"/>
      <c r="H30" s="36">
        <v>4</v>
      </c>
      <c r="I30" s="36">
        <v>5</v>
      </c>
      <c r="J30" s="37" t="s">
        <v>434</v>
      </c>
      <c r="K30" s="37"/>
      <c r="R30" s="114"/>
      <c r="S30" s="114"/>
      <c r="T30" s="114"/>
      <c r="U30" s="114"/>
      <c r="V30" s="114"/>
      <c r="W30" s="32"/>
      <c r="X30" s="32"/>
      <c r="Y30" s="32"/>
      <c r="Z30" s="32"/>
    </row>
    <row r="31" spans="1:26" s="34" customFormat="1" ht="21" customHeight="1" x14ac:dyDescent="0.2">
      <c r="A31" s="39" t="s">
        <v>452</v>
      </c>
      <c r="B31" s="32" t="s">
        <v>453</v>
      </c>
      <c r="C31" s="197" t="s">
        <v>370</v>
      </c>
      <c r="D31" s="36"/>
      <c r="E31" s="36"/>
      <c r="F31" s="36"/>
      <c r="G31" s="36"/>
      <c r="H31" s="4">
        <v>4</v>
      </c>
      <c r="I31" s="4">
        <v>5</v>
      </c>
      <c r="J31" s="33" t="s">
        <v>434</v>
      </c>
      <c r="K31" s="33"/>
      <c r="R31" s="114"/>
      <c r="S31" s="114"/>
      <c r="T31" s="114"/>
      <c r="U31" s="114"/>
      <c r="V31" s="114"/>
      <c r="W31" s="32"/>
      <c r="X31" s="32"/>
      <c r="Y31" s="32"/>
      <c r="Z31" s="32"/>
    </row>
    <row r="32" spans="1:26" s="38" customFormat="1" ht="21" customHeight="1" x14ac:dyDescent="0.2">
      <c r="A32" s="35" t="s">
        <v>454</v>
      </c>
      <c r="B32" s="40" t="s">
        <v>455</v>
      </c>
      <c r="C32" s="197" t="s">
        <v>79</v>
      </c>
      <c r="D32" s="36"/>
      <c r="E32" s="36"/>
      <c r="F32" s="36"/>
      <c r="G32" s="36"/>
      <c r="H32" s="36">
        <v>4</v>
      </c>
      <c r="I32" s="36">
        <v>5</v>
      </c>
      <c r="J32" s="37" t="s">
        <v>434</v>
      </c>
      <c r="K32" s="37"/>
      <c r="R32" s="114"/>
      <c r="S32" s="114"/>
      <c r="T32" s="114"/>
      <c r="U32" s="114"/>
      <c r="V32" s="114"/>
      <c r="W32" s="32"/>
      <c r="X32" s="32"/>
      <c r="Y32" s="32"/>
      <c r="Z32" s="32"/>
    </row>
    <row r="33" spans="1:26" s="34" customFormat="1" ht="21" customHeight="1" x14ac:dyDescent="0.2">
      <c r="A33" s="39" t="s">
        <v>456</v>
      </c>
      <c r="B33" s="32" t="s">
        <v>457</v>
      </c>
      <c r="C33" s="197" t="s">
        <v>98</v>
      </c>
      <c r="D33" s="36"/>
      <c r="E33" s="36"/>
      <c r="F33" s="36"/>
      <c r="G33" s="36"/>
      <c r="H33" s="4">
        <v>4</v>
      </c>
      <c r="I33" s="4">
        <v>5</v>
      </c>
      <c r="J33" s="33" t="s">
        <v>434</v>
      </c>
      <c r="K33" s="33"/>
      <c r="R33" s="114"/>
      <c r="S33" s="114"/>
      <c r="T33" s="114"/>
      <c r="U33" s="114"/>
      <c r="V33" s="114"/>
      <c r="W33" s="32"/>
      <c r="X33" s="32"/>
      <c r="Y33" s="32"/>
      <c r="Z33" s="32"/>
    </row>
    <row r="34" spans="1:26" s="38" customFormat="1" ht="21" customHeight="1" x14ac:dyDescent="0.2">
      <c r="A34" s="35" t="s">
        <v>458</v>
      </c>
      <c r="B34" s="40" t="s">
        <v>459</v>
      </c>
      <c r="C34" s="197" t="s">
        <v>79</v>
      </c>
      <c r="D34" s="36"/>
      <c r="E34" s="36"/>
      <c r="F34" s="36"/>
      <c r="G34" s="36"/>
      <c r="H34" s="36">
        <v>4</v>
      </c>
      <c r="I34" s="36">
        <v>5</v>
      </c>
      <c r="J34" s="37" t="s">
        <v>434</v>
      </c>
      <c r="K34" s="37"/>
      <c r="R34" s="117" t="s">
        <v>460</v>
      </c>
      <c r="S34" s="114"/>
      <c r="T34" s="114"/>
      <c r="U34" s="114"/>
      <c r="V34" s="114"/>
      <c r="W34" s="32"/>
      <c r="X34" s="32"/>
      <c r="Y34" s="32"/>
      <c r="Z34" s="32"/>
    </row>
    <row r="35" spans="1:26" s="34" customFormat="1" ht="21" customHeight="1" x14ac:dyDescent="0.2">
      <c r="A35" s="39" t="s">
        <v>461</v>
      </c>
      <c r="B35" s="32" t="s">
        <v>462</v>
      </c>
      <c r="C35" s="197" t="s">
        <v>364</v>
      </c>
      <c r="D35" s="36"/>
      <c r="E35" s="36"/>
      <c r="F35" s="36"/>
      <c r="G35" s="36"/>
      <c r="H35" s="4">
        <v>4</v>
      </c>
      <c r="I35" s="4">
        <v>5</v>
      </c>
      <c r="J35" s="33" t="s">
        <v>434</v>
      </c>
      <c r="K35" s="33"/>
      <c r="R35" s="114"/>
      <c r="S35" s="114"/>
      <c r="T35" s="114"/>
      <c r="U35" s="114"/>
      <c r="V35" s="114"/>
      <c r="W35" s="32"/>
      <c r="X35" s="32"/>
      <c r="Y35" s="32"/>
      <c r="Z35" s="32"/>
    </row>
    <row r="36" spans="1:26" s="38" customFormat="1" ht="21" customHeight="1" x14ac:dyDescent="0.2">
      <c r="A36" s="35" t="s">
        <v>463</v>
      </c>
      <c r="B36" s="40" t="s">
        <v>464</v>
      </c>
      <c r="C36" s="197" t="s">
        <v>364</v>
      </c>
      <c r="D36" s="36"/>
      <c r="E36" s="36"/>
      <c r="F36" s="36"/>
      <c r="G36" s="36"/>
      <c r="H36" s="36">
        <v>4</v>
      </c>
      <c r="I36" s="36">
        <v>5</v>
      </c>
      <c r="J36" s="37"/>
      <c r="K36" s="37"/>
      <c r="R36" s="117" t="s">
        <v>465</v>
      </c>
      <c r="S36" s="114"/>
      <c r="T36" s="114"/>
      <c r="U36" s="114"/>
      <c r="V36" s="114"/>
      <c r="W36" s="32"/>
      <c r="X36" s="32"/>
      <c r="Y36" s="32"/>
      <c r="Z36" s="32"/>
    </row>
    <row r="37" spans="1:26" s="34" customFormat="1" ht="21" customHeight="1" x14ac:dyDescent="0.2">
      <c r="A37" s="39" t="s">
        <v>466</v>
      </c>
      <c r="B37" s="32" t="s">
        <v>467</v>
      </c>
      <c r="C37" s="197" t="s">
        <v>364</v>
      </c>
      <c r="D37" s="36"/>
      <c r="E37" s="36"/>
      <c r="F37" s="36"/>
      <c r="G37" s="36"/>
      <c r="H37" s="4">
        <v>4</v>
      </c>
      <c r="I37" s="4">
        <v>5</v>
      </c>
      <c r="J37" s="33"/>
      <c r="K37" s="33"/>
      <c r="R37" s="117" t="s">
        <v>465</v>
      </c>
      <c r="S37" s="114"/>
      <c r="T37" s="114"/>
      <c r="U37" s="114"/>
      <c r="V37" s="114"/>
      <c r="W37" s="32"/>
      <c r="X37" s="32"/>
      <c r="Y37" s="32"/>
      <c r="Z37" s="32"/>
    </row>
    <row r="38" spans="1:26" s="38" customFormat="1" ht="21" customHeight="1" x14ac:dyDescent="0.2">
      <c r="A38" s="35" t="s">
        <v>468</v>
      </c>
      <c r="B38" s="40" t="s">
        <v>469</v>
      </c>
      <c r="C38" s="197" t="s">
        <v>98</v>
      </c>
      <c r="D38" s="36"/>
      <c r="E38" s="36"/>
      <c r="F38" s="36"/>
      <c r="G38" s="36"/>
      <c r="H38" s="36">
        <v>4</v>
      </c>
      <c r="I38" s="36">
        <v>5</v>
      </c>
      <c r="J38" s="37"/>
      <c r="K38" s="37"/>
      <c r="R38" s="114"/>
      <c r="S38" s="114"/>
      <c r="T38" s="114"/>
      <c r="U38" s="114"/>
      <c r="V38" s="114"/>
      <c r="W38" s="32"/>
      <c r="X38" s="32"/>
      <c r="Y38" s="32"/>
      <c r="Z38" s="32"/>
    </row>
    <row r="39" spans="1:26" s="34" customFormat="1" ht="21" customHeight="1" x14ac:dyDescent="0.2">
      <c r="A39" s="39" t="s">
        <v>470</v>
      </c>
      <c r="B39" s="32" t="s">
        <v>471</v>
      </c>
      <c r="C39" s="197" t="s">
        <v>364</v>
      </c>
      <c r="D39" s="36"/>
      <c r="E39" s="36"/>
      <c r="F39" s="36"/>
      <c r="G39" s="36"/>
      <c r="H39" s="4">
        <v>4</v>
      </c>
      <c r="I39" s="4">
        <v>5</v>
      </c>
      <c r="J39" s="33"/>
      <c r="K39" s="33"/>
      <c r="R39" s="114"/>
      <c r="S39" s="114"/>
      <c r="T39" s="114"/>
      <c r="U39" s="114"/>
      <c r="V39" s="114"/>
      <c r="W39" s="32"/>
      <c r="X39" s="32"/>
      <c r="Y39" s="32"/>
      <c r="Z39" s="32"/>
    </row>
    <row r="40" spans="1:26" s="38" customFormat="1" ht="21" customHeight="1" x14ac:dyDescent="0.2">
      <c r="A40" s="35" t="s">
        <v>472</v>
      </c>
      <c r="B40" s="40" t="s">
        <v>473</v>
      </c>
      <c r="C40" s="197" t="s">
        <v>98</v>
      </c>
      <c r="D40" s="36"/>
      <c r="E40" s="36"/>
      <c r="F40" s="36"/>
      <c r="G40" s="36"/>
      <c r="H40" s="36">
        <v>4</v>
      </c>
      <c r="I40" s="36">
        <v>5</v>
      </c>
      <c r="J40" s="37"/>
      <c r="K40" s="37"/>
      <c r="R40" s="114"/>
      <c r="S40" s="114"/>
      <c r="T40" s="114"/>
      <c r="U40" s="114"/>
      <c r="V40" s="114"/>
      <c r="W40" s="32"/>
      <c r="X40" s="32"/>
      <c r="Y40" s="32"/>
      <c r="Z40" s="32"/>
    </row>
    <row r="41" spans="1:26" s="34" customFormat="1" ht="21" customHeight="1" x14ac:dyDescent="0.2">
      <c r="A41" s="39" t="s">
        <v>474</v>
      </c>
      <c r="B41" s="32" t="s">
        <v>475</v>
      </c>
      <c r="C41" s="197" t="s">
        <v>373</v>
      </c>
      <c r="D41" s="36"/>
      <c r="E41" s="36"/>
      <c r="F41" s="36"/>
      <c r="G41" s="36"/>
      <c r="H41" s="4">
        <v>4</v>
      </c>
      <c r="I41" s="4">
        <v>5</v>
      </c>
      <c r="J41" s="33" t="s">
        <v>476</v>
      </c>
      <c r="K41" s="33"/>
      <c r="R41" s="114"/>
      <c r="S41" s="114"/>
      <c r="T41" s="114"/>
      <c r="U41" s="114"/>
      <c r="V41" s="114"/>
      <c r="W41" s="32"/>
      <c r="X41" s="32"/>
      <c r="Y41" s="32"/>
      <c r="Z41" s="32"/>
    </row>
    <row r="42" spans="1:26" s="38" customFormat="1" ht="21" customHeight="1" x14ac:dyDescent="0.2">
      <c r="A42" s="35" t="s">
        <v>477</v>
      </c>
      <c r="B42" s="40" t="s">
        <v>478</v>
      </c>
      <c r="C42" s="197" t="s">
        <v>373</v>
      </c>
      <c r="D42" s="36"/>
      <c r="E42" s="36"/>
      <c r="F42" s="36"/>
      <c r="G42" s="36"/>
      <c r="H42" s="36">
        <v>4</v>
      </c>
      <c r="I42" s="36">
        <v>5</v>
      </c>
      <c r="J42" s="37"/>
      <c r="K42" s="37"/>
      <c r="R42" s="40" t="s">
        <v>1523</v>
      </c>
      <c r="S42" s="114"/>
      <c r="T42" s="114"/>
      <c r="U42" s="114"/>
      <c r="V42" s="114"/>
      <c r="W42" s="32"/>
      <c r="X42" s="32"/>
      <c r="Y42" s="32"/>
      <c r="Z42" s="32"/>
    </row>
    <row r="43" spans="1:26" s="34" customFormat="1" ht="21" customHeight="1" x14ac:dyDescent="0.2">
      <c r="A43" s="39" t="s">
        <v>479</v>
      </c>
      <c r="B43" s="32" t="s">
        <v>480</v>
      </c>
      <c r="C43" s="197" t="s">
        <v>98</v>
      </c>
      <c r="D43" s="36"/>
      <c r="E43" s="36"/>
      <c r="F43" s="36"/>
      <c r="G43" s="36"/>
      <c r="H43" s="4">
        <v>4</v>
      </c>
      <c r="I43" s="4">
        <v>5</v>
      </c>
      <c r="J43" s="33"/>
      <c r="K43" s="33"/>
      <c r="R43" s="114"/>
      <c r="S43" s="114"/>
      <c r="T43" s="114"/>
      <c r="U43" s="114"/>
      <c r="V43" s="114"/>
      <c r="W43" s="32"/>
      <c r="X43" s="32"/>
      <c r="Y43" s="32"/>
      <c r="Z43" s="32"/>
    </row>
    <row r="44" spans="1:26" s="38" customFormat="1" ht="21" customHeight="1" x14ac:dyDescent="0.2">
      <c r="A44" s="35" t="s">
        <v>481</v>
      </c>
      <c r="B44" s="40" t="s">
        <v>482</v>
      </c>
      <c r="C44" s="197" t="s">
        <v>98</v>
      </c>
      <c r="D44" s="36"/>
      <c r="E44" s="36"/>
      <c r="F44" s="36"/>
      <c r="G44" s="36"/>
      <c r="H44" s="36">
        <v>4</v>
      </c>
      <c r="I44" s="36">
        <v>5</v>
      </c>
      <c r="J44" s="37"/>
      <c r="K44" s="37"/>
      <c r="R44" s="117" t="s">
        <v>483</v>
      </c>
      <c r="S44" s="114"/>
      <c r="T44" s="114"/>
      <c r="U44" s="114"/>
      <c r="V44" s="114"/>
      <c r="W44" s="32"/>
      <c r="X44" s="32"/>
      <c r="Y44" s="32"/>
      <c r="Z44" s="32"/>
    </row>
    <row r="45" spans="1:26" s="34" customFormat="1" ht="21" customHeight="1" x14ac:dyDescent="0.2">
      <c r="A45" s="39" t="s">
        <v>484</v>
      </c>
      <c r="B45" s="44" t="s">
        <v>485</v>
      </c>
      <c r="C45" s="197" t="s">
        <v>370</v>
      </c>
      <c r="D45" s="36"/>
      <c r="E45" s="36"/>
      <c r="F45" s="36"/>
      <c r="G45" s="36"/>
      <c r="H45" s="36">
        <v>4</v>
      </c>
      <c r="I45" s="36">
        <v>5</v>
      </c>
      <c r="J45" s="33"/>
      <c r="K45" s="33"/>
      <c r="R45" s="114"/>
      <c r="S45" s="114"/>
      <c r="T45" s="114"/>
      <c r="U45" s="114"/>
      <c r="V45" s="114"/>
      <c r="W45" s="32"/>
      <c r="X45" s="32"/>
      <c r="Y45" s="32"/>
      <c r="Z45" s="32"/>
    </row>
    <row r="46" spans="1:26" s="34" customFormat="1" ht="21" customHeight="1" x14ac:dyDescent="0.2">
      <c r="A46" s="35" t="s">
        <v>486</v>
      </c>
      <c r="B46" s="44" t="s">
        <v>487</v>
      </c>
      <c r="C46" s="197" t="s">
        <v>98</v>
      </c>
      <c r="D46" s="36"/>
      <c r="E46" s="36"/>
      <c r="F46" s="36"/>
      <c r="G46" s="36"/>
      <c r="H46" s="36">
        <v>4</v>
      </c>
      <c r="I46" s="36">
        <v>5</v>
      </c>
      <c r="J46" s="33"/>
      <c r="K46" s="33"/>
      <c r="R46" s="117" t="s">
        <v>488</v>
      </c>
      <c r="S46" s="114"/>
      <c r="T46" s="114"/>
      <c r="U46" s="114"/>
      <c r="V46" s="114"/>
      <c r="W46" s="32"/>
      <c r="X46" s="32"/>
      <c r="Y46" s="32"/>
      <c r="Z46" s="32"/>
    </row>
    <row r="47" spans="1:26" s="34" customFormat="1" ht="21" customHeight="1" x14ac:dyDescent="0.2">
      <c r="A47" s="39" t="s">
        <v>489</v>
      </c>
      <c r="B47" s="44" t="s">
        <v>490</v>
      </c>
      <c r="C47" s="197" t="s">
        <v>98</v>
      </c>
      <c r="D47" s="36"/>
      <c r="E47" s="36"/>
      <c r="F47" s="36"/>
      <c r="G47" s="36"/>
      <c r="H47" s="36">
        <v>4</v>
      </c>
      <c r="I47" s="36">
        <v>5</v>
      </c>
      <c r="J47" s="33"/>
      <c r="K47" s="33"/>
      <c r="R47" s="117" t="s">
        <v>488</v>
      </c>
      <c r="S47" s="114"/>
      <c r="T47" s="114"/>
      <c r="U47" s="114"/>
      <c r="V47" s="114"/>
      <c r="W47" s="32"/>
      <c r="X47" s="32"/>
      <c r="Y47" s="32"/>
      <c r="Z47" s="32"/>
    </row>
    <row r="48" spans="1:26" s="29" customFormat="1" ht="21" customHeight="1" x14ac:dyDescent="0.2">
      <c r="A48" s="28" t="s">
        <v>491</v>
      </c>
      <c r="B48" s="28"/>
    </row>
    <row r="49" spans="1:27" s="34" customFormat="1" ht="21" customHeight="1" x14ac:dyDescent="0.2">
      <c r="A49" s="39" t="s">
        <v>492</v>
      </c>
      <c r="B49" s="32" t="s">
        <v>493</v>
      </c>
      <c r="C49" s="197" t="s">
        <v>98</v>
      </c>
      <c r="D49" s="4"/>
      <c r="E49" s="4"/>
      <c r="F49" s="4"/>
      <c r="G49" s="4"/>
      <c r="H49" s="4">
        <v>4</v>
      </c>
      <c r="I49" s="4">
        <v>5</v>
      </c>
      <c r="J49" s="33"/>
      <c r="K49" s="33"/>
      <c r="R49" s="114"/>
      <c r="S49" s="114"/>
      <c r="T49" s="114"/>
      <c r="U49" s="114"/>
      <c r="V49" s="114"/>
      <c r="W49" s="32"/>
      <c r="X49" s="32"/>
      <c r="Y49" s="32"/>
      <c r="Z49" s="32"/>
      <c r="AA49" s="32"/>
    </row>
    <row r="50" spans="1:27" s="34" customFormat="1" ht="21" customHeight="1" x14ac:dyDescent="0.2">
      <c r="A50" s="43" t="s">
        <v>494</v>
      </c>
      <c r="B50" s="44" t="s">
        <v>495</v>
      </c>
      <c r="C50" s="197" t="s">
        <v>98</v>
      </c>
      <c r="D50" s="4"/>
      <c r="E50" s="4"/>
      <c r="F50" s="4"/>
      <c r="G50" s="4"/>
      <c r="H50" s="4">
        <v>4</v>
      </c>
      <c r="I50" s="4">
        <v>5</v>
      </c>
      <c r="J50" s="33"/>
      <c r="K50" s="33"/>
      <c r="R50" s="114"/>
      <c r="S50" s="114"/>
      <c r="T50" s="114"/>
      <c r="U50" s="114"/>
      <c r="V50" s="114"/>
      <c r="W50" s="32"/>
      <c r="X50" s="32"/>
      <c r="Y50" s="32"/>
      <c r="Z50" s="32"/>
      <c r="AA50" s="32"/>
    </row>
    <row r="51" spans="1:27" s="34" customFormat="1" ht="21" customHeight="1" x14ac:dyDescent="0.2">
      <c r="A51" s="39" t="s">
        <v>496</v>
      </c>
      <c r="B51" s="44" t="s">
        <v>497</v>
      </c>
      <c r="C51" s="197" t="s">
        <v>98</v>
      </c>
      <c r="D51" s="4"/>
      <c r="E51" s="4"/>
      <c r="F51" s="4"/>
      <c r="G51" s="4"/>
      <c r="H51" s="4">
        <v>4</v>
      </c>
      <c r="I51" s="4">
        <v>5</v>
      </c>
      <c r="J51" s="33"/>
      <c r="K51" s="33"/>
      <c r="R51" s="114"/>
      <c r="S51" s="114"/>
      <c r="T51" s="114"/>
      <c r="U51" s="114"/>
      <c r="V51" s="114"/>
      <c r="W51" s="32"/>
      <c r="X51" s="32"/>
      <c r="Y51" s="32"/>
      <c r="Z51" s="32"/>
      <c r="AA51" s="32"/>
    </row>
    <row r="52" spans="1:27" s="34" customFormat="1" ht="21" customHeight="1" x14ac:dyDescent="0.2">
      <c r="A52" s="43" t="s">
        <v>498</v>
      </c>
      <c r="B52" s="44" t="s">
        <v>499</v>
      </c>
      <c r="C52" s="197" t="s">
        <v>373</v>
      </c>
      <c r="D52" s="4"/>
      <c r="E52" s="4"/>
      <c r="F52" s="4"/>
      <c r="G52" s="4"/>
      <c r="H52" s="4">
        <v>4</v>
      </c>
      <c r="I52" s="4">
        <v>5</v>
      </c>
      <c r="J52" s="33"/>
      <c r="K52" s="33"/>
      <c r="R52" s="117" t="s">
        <v>500</v>
      </c>
      <c r="S52" s="114"/>
      <c r="T52" s="114"/>
      <c r="U52" s="114"/>
      <c r="V52" s="114"/>
      <c r="W52" s="32"/>
      <c r="X52" s="32"/>
      <c r="Y52" s="32"/>
      <c r="Z52" s="32"/>
      <c r="AA52" s="32"/>
    </row>
    <row r="53" spans="1:27" s="34" customFormat="1" ht="21" customHeight="1" x14ac:dyDescent="0.2">
      <c r="A53" s="39" t="s">
        <v>501</v>
      </c>
      <c r="B53" s="44" t="s">
        <v>502</v>
      </c>
      <c r="C53" s="197" t="s">
        <v>98</v>
      </c>
      <c r="D53" s="4"/>
      <c r="E53" s="4"/>
      <c r="F53" s="4"/>
      <c r="G53" s="4"/>
      <c r="H53" s="4">
        <v>4</v>
      </c>
      <c r="I53" s="4">
        <v>5</v>
      </c>
      <c r="J53" s="33"/>
      <c r="K53" s="33"/>
      <c r="R53" s="114"/>
      <c r="S53" s="114"/>
      <c r="T53" s="114"/>
      <c r="U53" s="114"/>
      <c r="V53" s="114"/>
      <c r="W53" s="32"/>
      <c r="X53" s="32"/>
      <c r="Y53" s="32"/>
      <c r="Z53" s="32"/>
      <c r="AA53" s="32"/>
    </row>
    <row r="54" spans="1:27" s="34" customFormat="1" ht="21" customHeight="1" x14ac:dyDescent="0.2">
      <c r="A54" s="43" t="s">
        <v>503</v>
      </c>
      <c r="B54" s="44" t="s">
        <v>504</v>
      </c>
      <c r="C54" s="197" t="s">
        <v>98</v>
      </c>
      <c r="D54" s="4"/>
      <c r="E54" s="4"/>
      <c r="F54" s="4"/>
      <c r="G54" s="4"/>
      <c r="H54" s="4">
        <v>4</v>
      </c>
      <c r="I54" s="4">
        <v>5</v>
      </c>
      <c r="J54" s="33"/>
      <c r="K54" s="33"/>
      <c r="R54" s="114"/>
      <c r="S54" s="114"/>
      <c r="T54" s="114"/>
      <c r="U54" s="114"/>
      <c r="V54" s="114"/>
      <c r="W54" s="32"/>
      <c r="X54" s="32"/>
      <c r="Y54" s="32"/>
      <c r="Z54" s="32"/>
      <c r="AA54" s="32"/>
    </row>
    <row r="55" spans="1:27" s="34" customFormat="1" ht="21" customHeight="1" x14ac:dyDescent="0.2">
      <c r="A55" s="39" t="s">
        <v>505</v>
      </c>
      <c r="B55" s="32" t="s">
        <v>506</v>
      </c>
      <c r="C55" s="197" t="s">
        <v>98</v>
      </c>
      <c r="D55" s="4"/>
      <c r="E55" s="4"/>
      <c r="F55" s="4"/>
      <c r="G55" s="4"/>
      <c r="H55" s="4">
        <v>4</v>
      </c>
      <c r="I55" s="4">
        <v>5</v>
      </c>
      <c r="J55" s="33"/>
      <c r="K55" s="33"/>
      <c r="R55" s="114"/>
      <c r="S55" s="114"/>
      <c r="T55" s="114"/>
      <c r="U55" s="114"/>
      <c r="V55" s="114"/>
      <c r="W55" s="32"/>
      <c r="X55" s="32"/>
      <c r="Y55" s="32"/>
      <c r="Z55" s="32"/>
      <c r="AA55" s="32"/>
    </row>
    <row r="56" spans="1:27" s="34" customFormat="1" ht="21" customHeight="1" x14ac:dyDescent="0.2">
      <c r="A56" s="43" t="s">
        <v>507</v>
      </c>
      <c r="B56" s="32" t="s">
        <v>508</v>
      </c>
      <c r="C56" s="197" t="s">
        <v>370</v>
      </c>
      <c r="D56" s="4"/>
      <c r="E56" s="4"/>
      <c r="F56" s="4"/>
      <c r="G56" s="4"/>
      <c r="H56" s="4">
        <v>4</v>
      </c>
      <c r="I56" s="4">
        <v>5</v>
      </c>
      <c r="J56" s="33"/>
      <c r="K56" s="33"/>
      <c r="R56" s="114"/>
      <c r="S56" s="114"/>
      <c r="T56" s="114"/>
      <c r="U56" s="114"/>
      <c r="V56" s="114"/>
      <c r="W56" s="32"/>
      <c r="X56" s="32"/>
      <c r="Y56" s="32"/>
      <c r="Z56" s="32"/>
      <c r="AA56" s="32"/>
    </row>
    <row r="57" spans="1:27" s="34" customFormat="1" ht="21" customHeight="1" x14ac:dyDescent="0.2">
      <c r="A57" s="39" t="s">
        <v>509</v>
      </c>
      <c r="B57" s="32" t="s">
        <v>510</v>
      </c>
      <c r="C57" s="197" t="s">
        <v>370</v>
      </c>
      <c r="D57" s="4"/>
      <c r="E57" s="4"/>
      <c r="F57" s="4"/>
      <c r="G57" s="4"/>
      <c r="H57" s="4">
        <v>3</v>
      </c>
      <c r="I57" s="4">
        <v>5</v>
      </c>
      <c r="J57" s="33"/>
      <c r="K57" s="33"/>
      <c r="R57" s="114"/>
      <c r="S57" s="114"/>
      <c r="T57" s="114"/>
      <c r="U57" s="114"/>
      <c r="V57" s="114"/>
      <c r="W57" s="32"/>
      <c r="X57" s="32"/>
      <c r="Y57" s="32"/>
      <c r="Z57" s="32"/>
      <c r="AA57" s="32"/>
    </row>
    <row r="58" spans="1:27" s="34" customFormat="1" ht="21" customHeight="1" x14ac:dyDescent="0.2">
      <c r="A58" s="43" t="s">
        <v>511</v>
      </c>
      <c r="B58" s="32" t="s">
        <v>512</v>
      </c>
      <c r="C58" s="197" t="s">
        <v>98</v>
      </c>
      <c r="D58" s="4"/>
      <c r="E58" s="4"/>
      <c r="F58" s="4"/>
      <c r="G58" s="4"/>
      <c r="H58" s="4">
        <v>5</v>
      </c>
      <c r="I58" s="4">
        <v>5</v>
      </c>
      <c r="J58" s="33"/>
      <c r="K58" s="33"/>
      <c r="R58" s="114"/>
      <c r="S58" s="114"/>
      <c r="T58" s="114"/>
      <c r="U58" s="114"/>
      <c r="V58" s="114"/>
      <c r="W58" s="32"/>
      <c r="X58" s="32"/>
      <c r="Y58" s="32"/>
      <c r="Z58" s="32"/>
      <c r="AA58" s="32"/>
    </row>
    <row r="59" spans="1:27" s="34" customFormat="1" ht="21" customHeight="1" x14ac:dyDescent="0.2">
      <c r="A59" s="39" t="s">
        <v>513</v>
      </c>
      <c r="B59" s="32" t="s">
        <v>514</v>
      </c>
      <c r="C59" s="197" t="s">
        <v>98</v>
      </c>
      <c r="D59" s="4"/>
      <c r="E59" s="4"/>
      <c r="F59" s="4"/>
      <c r="G59" s="4"/>
      <c r="H59" s="4">
        <v>4</v>
      </c>
      <c r="I59" s="4">
        <v>5</v>
      </c>
      <c r="J59" s="33"/>
      <c r="K59" s="33"/>
      <c r="R59" s="114"/>
      <c r="S59" s="114"/>
      <c r="T59" s="114"/>
      <c r="U59" s="114"/>
      <c r="V59" s="114"/>
      <c r="W59" s="32"/>
      <c r="X59" s="32"/>
      <c r="Y59" s="32"/>
      <c r="Z59" s="32"/>
      <c r="AA59" s="32"/>
    </row>
    <row r="60" spans="1:27" s="34" customFormat="1" ht="21" customHeight="1" x14ac:dyDescent="0.2">
      <c r="A60" s="43" t="s">
        <v>515</v>
      </c>
      <c r="B60" s="32" t="s">
        <v>516</v>
      </c>
      <c r="C60" s="197" t="s">
        <v>79</v>
      </c>
      <c r="D60" s="4"/>
      <c r="E60" s="4"/>
      <c r="F60" s="4"/>
      <c r="G60" s="4"/>
      <c r="H60" s="4">
        <v>3</v>
      </c>
      <c r="I60" s="4">
        <v>5</v>
      </c>
      <c r="J60" s="33"/>
      <c r="K60" s="33"/>
      <c r="R60" s="114"/>
      <c r="S60" s="114"/>
      <c r="T60" s="114"/>
      <c r="U60" s="114"/>
      <c r="V60" s="114"/>
      <c r="W60" s="32"/>
      <c r="X60" s="32"/>
      <c r="Y60" s="32"/>
      <c r="Z60" s="32"/>
      <c r="AA60" s="32"/>
    </row>
    <row r="61" spans="1:27" s="34" customFormat="1" ht="21" customHeight="1" x14ac:dyDescent="0.2">
      <c r="A61" s="39" t="s">
        <v>517</v>
      </c>
      <c r="B61" s="32" t="s">
        <v>518</v>
      </c>
      <c r="C61" s="197" t="s">
        <v>370</v>
      </c>
      <c r="D61" s="4"/>
      <c r="E61" s="4"/>
      <c r="F61" s="4"/>
      <c r="G61" s="4"/>
      <c r="H61" s="4">
        <v>4</v>
      </c>
      <c r="I61" s="4">
        <v>5</v>
      </c>
      <c r="J61" s="33"/>
      <c r="K61" s="33"/>
      <c r="R61" s="114"/>
      <c r="S61" s="114"/>
      <c r="T61" s="114"/>
      <c r="U61" s="114"/>
      <c r="V61" s="114"/>
      <c r="W61" s="32"/>
      <c r="X61" s="32"/>
      <c r="Y61" s="32"/>
      <c r="Z61" s="32"/>
      <c r="AA61" s="32"/>
    </row>
    <row r="62" spans="1:27" s="34" customFormat="1" ht="21" customHeight="1" x14ac:dyDescent="0.2">
      <c r="A62" s="43" t="s">
        <v>519</v>
      </c>
      <c r="B62" s="32" t="s">
        <v>520</v>
      </c>
      <c r="C62" s="197" t="s">
        <v>370</v>
      </c>
      <c r="D62" s="4"/>
      <c r="E62" s="4"/>
      <c r="F62" s="4"/>
      <c r="G62" s="4"/>
      <c r="H62" s="4">
        <v>4</v>
      </c>
      <c r="I62" s="4">
        <v>5</v>
      </c>
      <c r="J62" s="33"/>
      <c r="K62" s="33"/>
      <c r="R62" s="114"/>
      <c r="S62" s="114"/>
      <c r="T62" s="114"/>
      <c r="U62" s="114"/>
      <c r="V62" s="114"/>
      <c r="W62" s="32"/>
      <c r="X62" s="32"/>
      <c r="Y62" s="32"/>
      <c r="Z62" s="32"/>
      <c r="AA62" s="32"/>
    </row>
    <row r="63" spans="1:27" s="34" customFormat="1" ht="21" customHeight="1" x14ac:dyDescent="0.2">
      <c r="A63" s="39" t="s">
        <v>521</v>
      </c>
      <c r="B63" s="32" t="s">
        <v>522</v>
      </c>
      <c r="C63" s="197" t="s">
        <v>98</v>
      </c>
      <c r="D63" s="4"/>
      <c r="E63" s="4"/>
      <c r="F63" s="4"/>
      <c r="G63" s="4"/>
      <c r="H63" s="4">
        <v>4</v>
      </c>
      <c r="I63" s="4">
        <v>5</v>
      </c>
      <c r="J63" s="42" t="s">
        <v>523</v>
      </c>
      <c r="K63" s="33"/>
      <c r="R63" s="114"/>
      <c r="S63" s="114"/>
      <c r="T63" s="114"/>
      <c r="U63" s="114"/>
      <c r="V63" s="114"/>
      <c r="W63" s="32"/>
      <c r="X63" s="32"/>
      <c r="Y63" s="32"/>
      <c r="Z63" s="32"/>
      <c r="AA63" s="32"/>
    </row>
    <row r="64" spans="1:27" s="34" customFormat="1" ht="21" customHeight="1" x14ac:dyDescent="0.2">
      <c r="A64" s="43" t="s">
        <v>524</v>
      </c>
      <c r="B64" s="32" t="s">
        <v>525</v>
      </c>
      <c r="C64" s="197" t="s">
        <v>98</v>
      </c>
      <c r="D64" s="4"/>
      <c r="E64" s="4"/>
      <c r="F64" s="4"/>
      <c r="G64" s="4"/>
      <c r="H64" s="4">
        <v>4</v>
      </c>
      <c r="I64" s="4">
        <v>5</v>
      </c>
      <c r="J64" s="33"/>
      <c r="K64" s="33"/>
      <c r="R64" s="114"/>
      <c r="S64" s="114"/>
      <c r="T64" s="114"/>
      <c r="U64" s="114"/>
      <c r="V64" s="114"/>
      <c r="W64" s="32"/>
      <c r="X64" s="32"/>
      <c r="Y64" s="32"/>
      <c r="Z64" s="32"/>
      <c r="AA64" s="32"/>
    </row>
    <row r="65" spans="1:27" s="34" customFormat="1" ht="21" customHeight="1" x14ac:dyDescent="0.2">
      <c r="A65" s="39" t="s">
        <v>526</v>
      </c>
      <c r="B65" s="32" t="s">
        <v>527</v>
      </c>
      <c r="C65" s="197" t="s">
        <v>98</v>
      </c>
      <c r="D65" s="4"/>
      <c r="E65" s="4"/>
      <c r="F65" s="4"/>
      <c r="G65" s="4"/>
      <c r="H65" s="4">
        <v>4</v>
      </c>
      <c r="I65" s="4">
        <v>5</v>
      </c>
      <c r="J65" s="33"/>
      <c r="K65" s="33"/>
      <c r="R65" s="114"/>
      <c r="S65" s="114"/>
      <c r="T65" s="114"/>
      <c r="U65" s="114"/>
      <c r="V65" s="114"/>
      <c r="W65" s="32"/>
      <c r="X65" s="32"/>
      <c r="Y65" s="32"/>
      <c r="Z65" s="32"/>
      <c r="AA65" s="32"/>
    </row>
    <row r="66" spans="1:27" s="34" customFormat="1" ht="21" customHeight="1" x14ac:dyDescent="0.2">
      <c r="A66" s="43" t="s">
        <v>528</v>
      </c>
      <c r="B66" s="32" t="s">
        <v>529</v>
      </c>
      <c r="C66" s="197" t="s">
        <v>98</v>
      </c>
      <c r="D66" s="4"/>
      <c r="E66" s="4"/>
      <c r="F66" s="4"/>
      <c r="G66" s="4"/>
      <c r="H66" s="4">
        <v>4</v>
      </c>
      <c r="I66" s="4">
        <v>5</v>
      </c>
      <c r="J66" s="33"/>
      <c r="K66" s="33"/>
      <c r="R66" s="114"/>
      <c r="S66" s="114"/>
      <c r="T66" s="114"/>
      <c r="U66" s="114"/>
      <c r="V66" s="114"/>
      <c r="W66" s="32"/>
      <c r="X66" s="32"/>
      <c r="Y66" s="32"/>
      <c r="Z66" s="32"/>
      <c r="AA66" s="32"/>
    </row>
    <row r="67" spans="1:27" s="34" customFormat="1" ht="21" customHeight="1" x14ac:dyDescent="0.2">
      <c r="A67" s="39" t="s">
        <v>530</v>
      </c>
      <c r="B67" s="32" t="s">
        <v>531</v>
      </c>
      <c r="C67" s="197" t="s">
        <v>98</v>
      </c>
      <c r="D67" s="4"/>
      <c r="E67" s="4"/>
      <c r="F67" s="4"/>
      <c r="G67" s="4"/>
      <c r="H67" s="4">
        <v>4</v>
      </c>
      <c r="I67" s="4">
        <v>5</v>
      </c>
      <c r="J67" s="33"/>
      <c r="K67" s="33"/>
      <c r="R67" s="114"/>
      <c r="S67" s="114"/>
      <c r="T67" s="114"/>
      <c r="U67" s="114"/>
      <c r="V67" s="114"/>
      <c r="W67" s="32"/>
      <c r="X67" s="32"/>
      <c r="Y67" s="32"/>
      <c r="Z67" s="32"/>
      <c r="AA67" s="32"/>
    </row>
    <row r="68" spans="1:27" s="34" customFormat="1" ht="21" customHeight="1" x14ac:dyDescent="0.2">
      <c r="A68" s="43" t="s">
        <v>532</v>
      </c>
      <c r="B68" s="32" t="s">
        <v>533</v>
      </c>
      <c r="C68" s="197" t="s">
        <v>98</v>
      </c>
      <c r="D68" s="4"/>
      <c r="E68" s="4"/>
      <c r="F68" s="4"/>
      <c r="G68" s="4"/>
      <c r="H68" s="4">
        <v>4</v>
      </c>
      <c r="I68" s="4">
        <v>5</v>
      </c>
      <c r="J68" s="33"/>
      <c r="K68" s="33"/>
      <c r="R68" s="114"/>
      <c r="S68" s="114"/>
      <c r="T68" s="114"/>
      <c r="U68" s="114"/>
      <c r="V68" s="114"/>
      <c r="W68" s="32"/>
      <c r="X68" s="32"/>
      <c r="Y68" s="32"/>
      <c r="Z68" s="32"/>
      <c r="AA68" s="32"/>
    </row>
    <row r="69" spans="1:27" s="34" customFormat="1" ht="21" customHeight="1" x14ac:dyDescent="0.2">
      <c r="A69" s="39" t="s">
        <v>534</v>
      </c>
      <c r="B69" s="32" t="s">
        <v>535</v>
      </c>
      <c r="C69" s="197" t="s">
        <v>98</v>
      </c>
      <c r="D69" s="4"/>
      <c r="E69" s="4"/>
      <c r="F69" s="4"/>
      <c r="G69" s="4"/>
      <c r="H69" s="4">
        <v>4</v>
      </c>
      <c r="I69" s="4">
        <v>5</v>
      </c>
      <c r="J69" s="33"/>
      <c r="K69" s="33"/>
      <c r="R69" s="114"/>
      <c r="S69" s="114"/>
      <c r="T69" s="114"/>
      <c r="U69" s="114"/>
      <c r="V69" s="114"/>
      <c r="W69" s="32"/>
      <c r="X69" s="32"/>
      <c r="Y69" s="32"/>
      <c r="Z69" s="32"/>
      <c r="AA69" s="32"/>
    </row>
    <row r="70" spans="1:27" s="34" customFormat="1" ht="21" customHeight="1" x14ac:dyDescent="0.2">
      <c r="A70" s="43" t="s">
        <v>536</v>
      </c>
      <c r="B70" s="32" t="s">
        <v>537</v>
      </c>
      <c r="C70" s="197" t="s">
        <v>98</v>
      </c>
      <c r="D70" s="4"/>
      <c r="E70" s="4"/>
      <c r="F70" s="4"/>
      <c r="G70" s="4"/>
      <c r="H70" s="4">
        <v>4</v>
      </c>
      <c r="I70" s="4">
        <v>5</v>
      </c>
      <c r="J70" s="33"/>
      <c r="K70" s="33"/>
      <c r="R70" s="114"/>
      <c r="S70" s="114"/>
      <c r="T70" s="114"/>
      <c r="U70" s="114"/>
      <c r="V70" s="114"/>
      <c r="W70" s="32"/>
      <c r="X70" s="32"/>
      <c r="Y70" s="32"/>
      <c r="Z70" s="32"/>
      <c r="AA70" s="32"/>
    </row>
    <row r="71" spans="1:27" s="34" customFormat="1" ht="21" customHeight="1" x14ac:dyDescent="0.2">
      <c r="A71" s="39" t="s">
        <v>538</v>
      </c>
      <c r="B71" s="32" t="s">
        <v>539</v>
      </c>
      <c r="C71" s="197" t="s">
        <v>373</v>
      </c>
      <c r="D71" s="4"/>
      <c r="E71" s="4"/>
      <c r="F71" s="4"/>
      <c r="G71" s="4"/>
      <c r="H71" s="4">
        <v>4</v>
      </c>
      <c r="I71" s="4">
        <v>5</v>
      </c>
      <c r="J71" s="33"/>
      <c r="K71" s="33"/>
      <c r="R71" s="114"/>
      <c r="S71" s="114"/>
      <c r="T71" s="114"/>
      <c r="U71" s="114"/>
      <c r="V71" s="114"/>
      <c r="W71" s="32"/>
      <c r="X71" s="32"/>
      <c r="Y71" s="32"/>
      <c r="Z71" s="32"/>
      <c r="AA71" s="32"/>
    </row>
    <row r="72" spans="1:27" s="29" customFormat="1" ht="19.5" customHeight="1" x14ac:dyDescent="0.2">
      <c r="A72" s="28" t="s">
        <v>540</v>
      </c>
      <c r="B72" s="28"/>
      <c r="W72" s="28"/>
      <c r="X72" s="28"/>
      <c r="Y72" s="28"/>
      <c r="Z72" s="28"/>
      <c r="AA72" s="28"/>
    </row>
    <row r="73" spans="1:27" s="34" customFormat="1" ht="21" customHeight="1" x14ac:dyDescent="0.2">
      <c r="A73" s="43" t="s">
        <v>541</v>
      </c>
      <c r="B73" s="43" t="s">
        <v>542</v>
      </c>
      <c r="C73" s="197" t="s">
        <v>98</v>
      </c>
      <c r="D73" s="4"/>
      <c r="E73" s="4"/>
      <c r="F73" s="4"/>
      <c r="G73" s="4"/>
      <c r="H73" s="4">
        <v>4</v>
      </c>
      <c r="I73" s="4">
        <v>5</v>
      </c>
      <c r="J73" s="33"/>
      <c r="K73" s="33"/>
      <c r="R73" s="114"/>
      <c r="S73" s="114"/>
      <c r="T73" s="114"/>
      <c r="U73" s="114"/>
      <c r="V73" s="114"/>
      <c r="W73" s="32"/>
      <c r="X73" s="32"/>
      <c r="Y73" s="32"/>
      <c r="Z73" s="32"/>
      <c r="AA73" s="32"/>
    </row>
    <row r="74" spans="1:27" s="34" customFormat="1" ht="21" customHeight="1" x14ac:dyDescent="0.2">
      <c r="A74" s="43" t="s">
        <v>543</v>
      </c>
      <c r="B74" s="44" t="s">
        <v>544</v>
      </c>
      <c r="C74" s="197" t="s">
        <v>98</v>
      </c>
      <c r="D74" s="4"/>
      <c r="E74" s="4"/>
      <c r="F74" s="4"/>
      <c r="G74" s="4"/>
      <c r="H74" s="4">
        <v>4</v>
      </c>
      <c r="I74" s="4">
        <v>5</v>
      </c>
      <c r="J74" s="33"/>
      <c r="K74" s="33"/>
      <c r="R74" s="114"/>
      <c r="S74" s="114"/>
      <c r="T74" s="114"/>
      <c r="U74" s="114"/>
      <c r="V74" s="114"/>
      <c r="W74" s="32"/>
      <c r="X74" s="32"/>
      <c r="Y74" s="32"/>
      <c r="Z74" s="32"/>
      <c r="AA74" s="32"/>
    </row>
    <row r="75" spans="1:27" s="34" customFormat="1" ht="21" customHeight="1" x14ac:dyDescent="0.2">
      <c r="A75" s="43" t="s">
        <v>545</v>
      </c>
      <c r="B75" s="44" t="s">
        <v>546</v>
      </c>
      <c r="C75" s="197" t="s">
        <v>98</v>
      </c>
      <c r="D75" s="4"/>
      <c r="E75" s="4"/>
      <c r="F75" s="4"/>
      <c r="G75" s="4"/>
      <c r="H75" s="4">
        <v>4</v>
      </c>
      <c r="I75" s="4">
        <v>5</v>
      </c>
      <c r="J75" s="33"/>
      <c r="K75" s="33"/>
      <c r="R75" s="114"/>
      <c r="S75" s="114"/>
      <c r="T75" s="114"/>
      <c r="U75" s="114"/>
      <c r="V75" s="114"/>
      <c r="W75" s="32"/>
      <c r="X75" s="32"/>
      <c r="Y75" s="32"/>
      <c r="Z75" s="32"/>
      <c r="AA75" s="32"/>
    </row>
    <row r="76" spans="1:27" s="34" customFormat="1" ht="21" customHeight="1" x14ac:dyDescent="0.2">
      <c r="A76" s="43" t="s">
        <v>547</v>
      </c>
      <c r="B76" s="44" t="s">
        <v>548</v>
      </c>
      <c r="C76" s="197" t="s">
        <v>98</v>
      </c>
      <c r="D76" s="4"/>
      <c r="E76" s="4"/>
      <c r="F76" s="4"/>
      <c r="G76" s="4"/>
      <c r="H76" s="4">
        <v>4</v>
      </c>
      <c r="I76" s="4">
        <v>5</v>
      </c>
      <c r="J76" s="33"/>
      <c r="K76" s="33"/>
      <c r="R76" s="114"/>
      <c r="S76" s="114"/>
      <c r="T76" s="114"/>
      <c r="U76" s="114"/>
      <c r="V76" s="114"/>
      <c r="W76" s="32"/>
      <c r="X76" s="32"/>
      <c r="Y76" s="32"/>
      <c r="Z76" s="32"/>
      <c r="AA76" s="32"/>
    </row>
    <row r="77" spans="1:27" s="34" customFormat="1" ht="21" customHeight="1" x14ac:dyDescent="0.2">
      <c r="A77" s="43" t="s">
        <v>549</v>
      </c>
      <c r="B77" s="44" t="s">
        <v>550</v>
      </c>
      <c r="C77" s="197" t="s">
        <v>98</v>
      </c>
      <c r="D77" s="4"/>
      <c r="E77" s="4"/>
      <c r="F77" s="4"/>
      <c r="G77" s="4"/>
      <c r="H77" s="4">
        <v>4</v>
      </c>
      <c r="I77" s="4">
        <v>5</v>
      </c>
      <c r="J77" s="33"/>
      <c r="K77" s="33"/>
      <c r="R77" s="114"/>
      <c r="S77" s="114"/>
      <c r="T77" s="114"/>
      <c r="U77" s="114"/>
      <c r="V77" s="114"/>
      <c r="W77" s="32"/>
      <c r="X77" s="32"/>
      <c r="Y77" s="32"/>
      <c r="Z77" s="32"/>
      <c r="AA77" s="32"/>
    </row>
    <row r="78" spans="1:27" s="34" customFormat="1" ht="21" customHeight="1" x14ac:dyDescent="0.2">
      <c r="A78" s="43" t="s">
        <v>551</v>
      </c>
      <c r="B78" s="44" t="s">
        <v>552</v>
      </c>
      <c r="C78" s="197" t="s">
        <v>98</v>
      </c>
      <c r="D78" s="4"/>
      <c r="E78" s="4"/>
      <c r="F78" s="4"/>
      <c r="G78" s="4"/>
      <c r="H78" s="4">
        <v>4</v>
      </c>
      <c r="I78" s="4">
        <v>5</v>
      </c>
      <c r="J78" s="33"/>
      <c r="K78" s="33"/>
      <c r="R78" s="114"/>
      <c r="S78" s="114"/>
      <c r="T78" s="114"/>
      <c r="U78" s="114"/>
      <c r="V78" s="114"/>
      <c r="W78" s="32"/>
      <c r="X78" s="32"/>
      <c r="Y78" s="32"/>
      <c r="Z78" s="32"/>
      <c r="AA78" s="32"/>
    </row>
    <row r="79" spans="1:27" s="34" customFormat="1" ht="21" customHeight="1" x14ac:dyDescent="0.2">
      <c r="A79" s="43" t="s">
        <v>553</v>
      </c>
      <c r="B79" s="44" t="s">
        <v>554</v>
      </c>
      <c r="C79" s="197" t="s">
        <v>98</v>
      </c>
      <c r="D79" s="4"/>
      <c r="E79" s="4"/>
      <c r="F79" s="4"/>
      <c r="G79" s="4"/>
      <c r="H79" s="4">
        <v>4</v>
      </c>
      <c r="I79" s="4">
        <v>5</v>
      </c>
      <c r="J79" s="33"/>
      <c r="K79" s="33"/>
      <c r="R79" s="114"/>
      <c r="S79" s="114"/>
      <c r="T79" s="114"/>
      <c r="U79" s="114"/>
      <c r="V79" s="114"/>
      <c r="W79" s="32"/>
      <c r="X79" s="32"/>
      <c r="Y79" s="32"/>
      <c r="Z79" s="32"/>
      <c r="AA79" s="32"/>
    </row>
    <row r="80" spans="1:27" s="34" customFormat="1" ht="21" customHeight="1" x14ac:dyDescent="0.2">
      <c r="A80" s="43" t="s">
        <v>555</v>
      </c>
      <c r="B80" s="44" t="s">
        <v>556</v>
      </c>
      <c r="C80" s="197" t="s">
        <v>98</v>
      </c>
      <c r="D80" s="4"/>
      <c r="E80" s="4"/>
      <c r="F80" s="4"/>
      <c r="G80" s="4"/>
      <c r="H80" s="4">
        <v>4</v>
      </c>
      <c r="I80" s="4">
        <v>5</v>
      </c>
      <c r="J80" s="33"/>
      <c r="K80" s="33"/>
      <c r="R80" s="114"/>
      <c r="S80" s="114"/>
      <c r="T80" s="114"/>
      <c r="U80" s="114"/>
      <c r="V80" s="114"/>
      <c r="W80" s="32"/>
      <c r="X80" s="32"/>
      <c r="Y80" s="32"/>
      <c r="Z80" s="32"/>
      <c r="AA80" s="32"/>
    </row>
    <row r="81" spans="1:28" s="34" customFormat="1" ht="21" customHeight="1" x14ac:dyDescent="0.2">
      <c r="A81" s="43" t="s">
        <v>557</v>
      </c>
      <c r="B81" s="44" t="s">
        <v>558</v>
      </c>
      <c r="C81" s="197" t="s">
        <v>98</v>
      </c>
      <c r="D81" s="4"/>
      <c r="E81" s="4"/>
      <c r="F81" s="4"/>
      <c r="G81" s="4"/>
      <c r="H81" s="4">
        <v>4</v>
      </c>
      <c r="I81" s="4">
        <v>5</v>
      </c>
      <c r="J81" s="33"/>
      <c r="K81" s="33"/>
      <c r="R81" s="114"/>
      <c r="S81" s="114"/>
      <c r="T81" s="114"/>
      <c r="U81" s="114"/>
      <c r="V81" s="114"/>
      <c r="W81" s="32"/>
      <c r="X81" s="32"/>
      <c r="Y81" s="32"/>
      <c r="Z81" s="32"/>
      <c r="AA81" s="32"/>
    </row>
    <row r="82" spans="1:28" s="34" customFormat="1" ht="21" customHeight="1" x14ac:dyDescent="0.2">
      <c r="A82" s="43" t="s">
        <v>559</v>
      </c>
      <c r="B82" s="44" t="s">
        <v>560</v>
      </c>
      <c r="C82" s="197" t="s">
        <v>98</v>
      </c>
      <c r="D82" s="4"/>
      <c r="E82" s="4"/>
      <c r="F82" s="4"/>
      <c r="G82" s="4"/>
      <c r="H82" s="4">
        <v>4</v>
      </c>
      <c r="I82" s="4">
        <v>5</v>
      </c>
      <c r="J82" s="33"/>
      <c r="K82" s="33"/>
      <c r="R82" s="114"/>
      <c r="S82" s="114"/>
      <c r="T82" s="114"/>
      <c r="U82" s="114"/>
      <c r="V82" s="114"/>
      <c r="W82" s="32"/>
      <c r="X82" s="32"/>
      <c r="Y82" s="32"/>
      <c r="Z82" s="32"/>
      <c r="AA82" s="32"/>
    </row>
    <row r="83" spans="1:28" s="34" customFormat="1" ht="21" customHeight="1" x14ac:dyDescent="0.2">
      <c r="A83" s="43" t="s">
        <v>561</v>
      </c>
      <c r="B83" s="44" t="s">
        <v>562</v>
      </c>
      <c r="C83" s="197" t="s">
        <v>98</v>
      </c>
      <c r="D83" s="4"/>
      <c r="E83" s="4"/>
      <c r="F83" s="4"/>
      <c r="G83" s="4"/>
      <c r="H83" s="4">
        <v>4</v>
      </c>
      <c r="I83" s="4">
        <v>5</v>
      </c>
      <c r="J83" s="33"/>
      <c r="K83" s="33"/>
      <c r="R83" s="114"/>
      <c r="S83" s="114"/>
      <c r="T83" s="114"/>
      <c r="U83" s="114"/>
      <c r="V83" s="114"/>
      <c r="W83" s="32"/>
      <c r="X83" s="32"/>
      <c r="Y83" s="32"/>
      <c r="Z83" s="32"/>
      <c r="AA83" s="32"/>
    </row>
    <row r="84" spans="1:28" s="34" customFormat="1" ht="21" customHeight="1" x14ac:dyDescent="0.2">
      <c r="A84" s="43" t="s">
        <v>563</v>
      </c>
      <c r="B84" s="44" t="s">
        <v>564</v>
      </c>
      <c r="C84" s="197" t="s">
        <v>98</v>
      </c>
      <c r="D84" s="4"/>
      <c r="E84" s="4"/>
      <c r="F84" s="4"/>
      <c r="G84" s="4"/>
      <c r="H84" s="4">
        <v>4</v>
      </c>
      <c r="I84" s="4">
        <v>5</v>
      </c>
      <c r="J84" s="33"/>
      <c r="K84" s="33"/>
      <c r="R84" s="114"/>
      <c r="S84" s="114"/>
      <c r="T84" s="114"/>
      <c r="U84" s="114"/>
      <c r="V84" s="114"/>
      <c r="W84" s="32"/>
      <c r="X84" s="32"/>
      <c r="Y84" s="32"/>
      <c r="Z84" s="32"/>
      <c r="AA84" s="32"/>
    </row>
    <row r="85" spans="1:28" s="29" customFormat="1" ht="19.5" customHeight="1" x14ac:dyDescent="0.2">
      <c r="A85" s="28" t="s">
        <v>565</v>
      </c>
      <c r="B85" s="28"/>
    </row>
    <row r="86" spans="1:28" s="34" customFormat="1" ht="21" customHeight="1" x14ac:dyDescent="0.2">
      <c r="A86" s="43" t="s">
        <v>566</v>
      </c>
      <c r="B86" s="32" t="s">
        <v>567</v>
      </c>
      <c r="C86" s="197" t="s">
        <v>98</v>
      </c>
      <c r="D86" s="4"/>
      <c r="E86" s="4"/>
      <c r="F86" s="4"/>
      <c r="G86" s="4"/>
      <c r="H86" s="4">
        <v>4</v>
      </c>
      <c r="I86" s="4">
        <v>5</v>
      </c>
      <c r="J86" s="33"/>
      <c r="K86" s="33" t="s">
        <v>568</v>
      </c>
      <c r="R86" s="114"/>
      <c r="S86" s="114"/>
      <c r="T86" s="114"/>
      <c r="U86" s="114"/>
      <c r="V86" s="114"/>
      <c r="W86" s="32"/>
      <c r="X86" s="32"/>
      <c r="Y86" s="32"/>
      <c r="Z86" s="32"/>
      <c r="AA86" s="32"/>
      <c r="AB86" s="32"/>
    </row>
    <row r="87" spans="1:28" s="38" customFormat="1" ht="21" customHeight="1" x14ac:dyDescent="0.2">
      <c r="A87" s="40" t="s">
        <v>569</v>
      </c>
      <c r="B87" s="40" t="s">
        <v>570</v>
      </c>
      <c r="C87" s="197" t="s">
        <v>98</v>
      </c>
      <c r="D87" s="4"/>
      <c r="E87" s="4"/>
      <c r="F87" s="4"/>
      <c r="G87" s="4"/>
      <c r="H87" s="36">
        <v>4</v>
      </c>
      <c r="I87" s="36">
        <v>5</v>
      </c>
      <c r="J87" s="37"/>
      <c r="K87" s="37" t="s">
        <v>571</v>
      </c>
      <c r="R87" s="114"/>
      <c r="S87" s="114"/>
      <c r="T87" s="114"/>
      <c r="U87" s="114"/>
      <c r="V87" s="114"/>
      <c r="W87" s="32"/>
      <c r="X87" s="32"/>
      <c r="Y87" s="32"/>
      <c r="Z87" s="32"/>
      <c r="AA87" s="32"/>
      <c r="AB87" s="32"/>
    </row>
    <row r="88" spans="1:28" s="34" customFormat="1" ht="21" customHeight="1" x14ac:dyDescent="0.2">
      <c r="A88" s="43" t="s">
        <v>572</v>
      </c>
      <c r="B88" s="32" t="s">
        <v>573</v>
      </c>
      <c r="C88" s="197" t="s">
        <v>98</v>
      </c>
      <c r="D88" s="4"/>
      <c r="E88" s="4"/>
      <c r="F88" s="4"/>
      <c r="G88" s="4"/>
      <c r="H88" s="4">
        <v>4</v>
      </c>
      <c r="I88" s="4">
        <v>5</v>
      </c>
      <c r="J88" s="33"/>
      <c r="K88" s="33" t="s">
        <v>574</v>
      </c>
      <c r="R88" s="114"/>
      <c r="S88" s="114"/>
      <c r="T88" s="114"/>
      <c r="U88" s="114"/>
      <c r="V88" s="114"/>
      <c r="W88" s="32"/>
      <c r="X88" s="32"/>
      <c r="Y88" s="32"/>
      <c r="Z88" s="32"/>
      <c r="AA88" s="32"/>
      <c r="AB88" s="32"/>
    </row>
    <row r="89" spans="1:28" s="38" customFormat="1" ht="21" customHeight="1" x14ac:dyDescent="0.2">
      <c r="A89" s="40" t="s">
        <v>575</v>
      </c>
      <c r="B89" s="40" t="s">
        <v>576</v>
      </c>
      <c r="C89" s="197" t="s">
        <v>98</v>
      </c>
      <c r="D89" s="4"/>
      <c r="E89" s="4"/>
      <c r="F89" s="4"/>
      <c r="G89" s="4"/>
      <c r="H89" s="36">
        <v>4</v>
      </c>
      <c r="I89" s="36">
        <v>5</v>
      </c>
      <c r="J89" s="37"/>
      <c r="K89" s="37" t="s">
        <v>577</v>
      </c>
      <c r="R89" s="114"/>
      <c r="S89" s="114"/>
      <c r="T89" s="114"/>
      <c r="U89" s="114"/>
      <c r="V89" s="114"/>
      <c r="W89" s="32"/>
      <c r="X89" s="32"/>
      <c r="Y89" s="32"/>
      <c r="Z89" s="32"/>
      <c r="AA89" s="32"/>
      <c r="AB89" s="32"/>
    </row>
    <row r="90" spans="1:28" s="34" customFormat="1" ht="21" customHeight="1" x14ac:dyDescent="0.2">
      <c r="A90" s="43" t="s">
        <v>578</v>
      </c>
      <c r="B90" s="32" t="s">
        <v>579</v>
      </c>
      <c r="C90" s="197" t="s">
        <v>98</v>
      </c>
      <c r="D90" s="4"/>
      <c r="E90" s="4"/>
      <c r="F90" s="4"/>
      <c r="G90" s="4"/>
      <c r="H90" s="4">
        <v>4</v>
      </c>
      <c r="I90" s="4">
        <v>5</v>
      </c>
      <c r="J90" s="33"/>
      <c r="K90" s="33" t="s">
        <v>580</v>
      </c>
      <c r="R90" s="114"/>
      <c r="S90" s="114"/>
      <c r="T90" s="114"/>
      <c r="U90" s="114"/>
      <c r="V90" s="114"/>
      <c r="W90" s="32"/>
      <c r="X90" s="32"/>
      <c r="Y90" s="32"/>
      <c r="Z90" s="32"/>
      <c r="AA90" s="32"/>
      <c r="AB90" s="32"/>
    </row>
    <row r="91" spans="1:28" s="38" customFormat="1" ht="21" customHeight="1" x14ac:dyDescent="0.2">
      <c r="A91" s="40" t="s">
        <v>581</v>
      </c>
      <c r="B91" s="40" t="s">
        <v>582</v>
      </c>
      <c r="C91" s="197" t="s">
        <v>98</v>
      </c>
      <c r="D91" s="4"/>
      <c r="E91" s="4"/>
      <c r="F91" s="4"/>
      <c r="G91" s="4"/>
      <c r="H91" s="36">
        <v>4</v>
      </c>
      <c r="I91" s="36">
        <v>5</v>
      </c>
      <c r="J91" s="37"/>
      <c r="K91" s="37" t="s">
        <v>583</v>
      </c>
      <c r="R91" s="114"/>
      <c r="S91" s="114"/>
      <c r="T91" s="114"/>
      <c r="U91" s="114"/>
      <c r="V91" s="114"/>
      <c r="W91" s="32"/>
      <c r="X91" s="32"/>
      <c r="Y91" s="32"/>
      <c r="Z91" s="32"/>
      <c r="AA91" s="32"/>
      <c r="AB91" s="32"/>
    </row>
    <row r="92" spans="1:28" s="34" customFormat="1" ht="21" customHeight="1" x14ac:dyDescent="0.2">
      <c r="A92" s="43" t="s">
        <v>584</v>
      </c>
      <c r="B92" s="32" t="s">
        <v>585</v>
      </c>
      <c r="C92" s="197" t="s">
        <v>98</v>
      </c>
      <c r="D92" s="4"/>
      <c r="E92" s="4"/>
      <c r="F92" s="4"/>
      <c r="G92" s="4"/>
      <c r="H92" s="4">
        <v>4</v>
      </c>
      <c r="I92" s="4">
        <v>5</v>
      </c>
      <c r="J92" s="33" t="s">
        <v>586</v>
      </c>
      <c r="K92" s="33" t="s">
        <v>587</v>
      </c>
      <c r="R92" s="114"/>
      <c r="S92" s="114"/>
      <c r="T92" s="114"/>
      <c r="U92" s="114"/>
      <c r="V92" s="114"/>
      <c r="W92" s="32"/>
      <c r="X92" s="32"/>
      <c r="Y92" s="32"/>
      <c r="Z92" s="32"/>
      <c r="AA92" s="32"/>
      <c r="AB92" s="32"/>
    </row>
    <row r="93" spans="1:28" s="38" customFormat="1" ht="21" customHeight="1" x14ac:dyDescent="0.2">
      <c r="A93" s="40" t="s">
        <v>588</v>
      </c>
      <c r="B93" s="40" t="s">
        <v>589</v>
      </c>
      <c r="C93" s="197" t="s">
        <v>98</v>
      </c>
      <c r="D93" s="4"/>
      <c r="E93" s="4"/>
      <c r="F93" s="4"/>
      <c r="G93" s="4"/>
      <c r="H93" s="36">
        <v>4</v>
      </c>
      <c r="I93" s="36">
        <v>5</v>
      </c>
      <c r="J93" s="37"/>
      <c r="K93" s="37" t="s">
        <v>590</v>
      </c>
      <c r="R93" s="114"/>
      <c r="S93" s="114"/>
      <c r="T93" s="114"/>
      <c r="U93" s="114"/>
      <c r="V93" s="114"/>
      <c r="W93" s="32"/>
      <c r="X93" s="32"/>
      <c r="Y93" s="32"/>
      <c r="Z93" s="32"/>
      <c r="AA93" s="32"/>
      <c r="AB93" s="32"/>
    </row>
    <row r="94" spans="1:28" s="34" customFormat="1" ht="21" customHeight="1" x14ac:dyDescent="0.2">
      <c r="A94" s="43" t="s">
        <v>591</v>
      </c>
      <c r="B94" s="32" t="s">
        <v>592</v>
      </c>
      <c r="C94" s="197" t="s">
        <v>364</v>
      </c>
      <c r="D94" s="4"/>
      <c r="E94" s="4"/>
      <c r="F94" s="4"/>
      <c r="G94" s="4"/>
      <c r="H94" s="4">
        <v>4</v>
      </c>
      <c r="I94" s="4">
        <v>5</v>
      </c>
      <c r="J94" s="33"/>
      <c r="K94" s="33" t="s">
        <v>593</v>
      </c>
      <c r="R94" s="114"/>
      <c r="S94" s="114"/>
      <c r="T94" s="114"/>
      <c r="U94" s="114"/>
      <c r="V94" s="114"/>
      <c r="W94" s="32"/>
      <c r="X94" s="32"/>
      <c r="Y94" s="32"/>
      <c r="Z94" s="32"/>
      <c r="AA94" s="32"/>
      <c r="AB94" s="32"/>
    </row>
    <row r="95" spans="1:28" s="40" customFormat="1" ht="21" customHeight="1" x14ac:dyDescent="0.2">
      <c r="A95" s="40" t="s">
        <v>594</v>
      </c>
      <c r="B95" s="40" t="s">
        <v>595</v>
      </c>
      <c r="C95" s="197" t="s">
        <v>364</v>
      </c>
      <c r="D95" s="4"/>
      <c r="E95" s="4"/>
      <c r="F95" s="4"/>
      <c r="G95" s="4"/>
      <c r="H95" s="4">
        <v>4</v>
      </c>
      <c r="I95" s="4">
        <v>5</v>
      </c>
      <c r="J95" s="116"/>
      <c r="K95" s="116"/>
      <c r="L95" s="116"/>
      <c r="M95" s="116"/>
      <c r="N95" s="116"/>
      <c r="O95" s="116"/>
      <c r="P95" s="116"/>
      <c r="Q95" s="116"/>
      <c r="R95" s="114"/>
      <c r="S95" s="114"/>
      <c r="T95" s="114"/>
      <c r="U95" s="114"/>
      <c r="V95" s="114"/>
      <c r="W95" s="32"/>
      <c r="X95" s="32"/>
      <c r="Y95" s="32"/>
      <c r="Z95" s="32"/>
      <c r="AA95" s="32"/>
      <c r="AB95" s="32"/>
    </row>
    <row r="96" spans="1:28" s="34" customFormat="1" ht="21" customHeight="1" x14ac:dyDescent="0.2">
      <c r="A96" s="43" t="s">
        <v>596</v>
      </c>
      <c r="B96" s="32" t="s">
        <v>597</v>
      </c>
      <c r="C96" s="197" t="s">
        <v>98</v>
      </c>
      <c r="D96" s="4"/>
      <c r="E96" s="4"/>
      <c r="F96" s="4"/>
      <c r="G96" s="4"/>
      <c r="H96" s="4">
        <v>4</v>
      </c>
      <c r="I96" s="4">
        <v>5</v>
      </c>
      <c r="J96" s="33"/>
      <c r="K96" s="33" t="s">
        <v>598</v>
      </c>
      <c r="R96" s="114"/>
      <c r="S96" s="114"/>
      <c r="T96" s="114"/>
      <c r="U96" s="114"/>
      <c r="V96" s="114"/>
      <c r="W96" s="32"/>
      <c r="X96" s="32"/>
      <c r="Y96" s="32"/>
      <c r="Z96" s="32"/>
      <c r="AA96" s="32"/>
      <c r="AB96" s="32"/>
    </row>
    <row r="97" spans="1:28" s="40" customFormat="1" ht="21" customHeight="1" x14ac:dyDescent="0.2">
      <c r="A97" s="40" t="s">
        <v>599</v>
      </c>
      <c r="B97" s="40" t="s">
        <v>600</v>
      </c>
      <c r="C97" s="197" t="s">
        <v>98</v>
      </c>
      <c r="D97" s="4"/>
      <c r="E97" s="4"/>
      <c r="F97" s="4"/>
      <c r="G97" s="4"/>
      <c r="H97" s="4">
        <v>4</v>
      </c>
      <c r="I97" s="4">
        <v>5</v>
      </c>
      <c r="J97" s="116"/>
      <c r="K97" s="116"/>
      <c r="L97" s="116"/>
      <c r="M97" s="116"/>
      <c r="N97" s="116"/>
      <c r="O97" s="116"/>
      <c r="P97" s="116"/>
      <c r="Q97" s="116"/>
      <c r="R97" s="117" t="s">
        <v>601</v>
      </c>
      <c r="S97" s="114"/>
      <c r="T97" s="114"/>
      <c r="U97" s="114"/>
      <c r="V97" s="114"/>
      <c r="W97" s="32"/>
      <c r="X97" s="32"/>
      <c r="Y97" s="32"/>
      <c r="Z97" s="32"/>
      <c r="AA97" s="32"/>
      <c r="AB97" s="32"/>
    </row>
    <row r="98" spans="1:28" s="34" customFormat="1" ht="21" customHeight="1" x14ac:dyDescent="0.2">
      <c r="A98" s="43" t="s">
        <v>602</v>
      </c>
      <c r="B98" s="32" t="s">
        <v>603</v>
      </c>
      <c r="C98" s="197" t="s">
        <v>98</v>
      </c>
      <c r="D98" s="4"/>
      <c r="E98" s="4"/>
      <c r="F98" s="4"/>
      <c r="G98" s="4"/>
      <c r="H98" s="4">
        <v>4</v>
      </c>
      <c r="I98" s="4">
        <v>5</v>
      </c>
      <c r="J98" s="33" t="s">
        <v>604</v>
      </c>
      <c r="K98" s="33"/>
      <c r="R98" s="114"/>
      <c r="S98" s="114"/>
      <c r="T98" s="114"/>
      <c r="U98" s="114"/>
      <c r="V98" s="114"/>
      <c r="W98" s="32"/>
      <c r="X98" s="32"/>
      <c r="Y98" s="32"/>
      <c r="Z98" s="32"/>
      <c r="AA98" s="32"/>
      <c r="AB98" s="32"/>
    </row>
    <row r="99" spans="1:28" s="40" customFormat="1" ht="21" customHeight="1" x14ac:dyDescent="0.2">
      <c r="A99" s="40" t="s">
        <v>605</v>
      </c>
      <c r="B99" s="40" t="s">
        <v>606</v>
      </c>
      <c r="C99" s="197" t="s">
        <v>98</v>
      </c>
      <c r="D99" s="4"/>
      <c r="E99" s="4"/>
      <c r="F99" s="4"/>
      <c r="G99" s="4"/>
      <c r="H99" s="4">
        <v>4</v>
      </c>
      <c r="I99" s="4">
        <v>5</v>
      </c>
      <c r="J99" s="116" t="s">
        <v>607</v>
      </c>
      <c r="K99" s="116"/>
      <c r="L99" s="116"/>
      <c r="M99" s="116"/>
      <c r="N99" s="116"/>
      <c r="O99" s="116"/>
      <c r="P99" s="116"/>
      <c r="Q99" s="116"/>
      <c r="R99" s="114"/>
      <c r="S99" s="114"/>
      <c r="T99" s="114"/>
      <c r="U99" s="114"/>
      <c r="V99" s="114"/>
      <c r="W99" s="32"/>
      <c r="X99" s="32"/>
      <c r="Y99" s="32"/>
      <c r="Z99" s="32"/>
      <c r="AA99" s="32"/>
      <c r="AB99" s="32"/>
    </row>
    <row r="100" spans="1:28" s="34" customFormat="1" ht="21" customHeight="1" x14ac:dyDescent="0.2">
      <c r="A100" s="43" t="s">
        <v>608</v>
      </c>
      <c r="B100" s="32" t="s">
        <v>609</v>
      </c>
      <c r="C100" s="197" t="s">
        <v>98</v>
      </c>
      <c r="D100" s="4"/>
      <c r="E100" s="4"/>
      <c r="F100" s="4"/>
      <c r="G100" s="4"/>
      <c r="H100" s="4">
        <v>4</v>
      </c>
      <c r="I100" s="4">
        <v>5</v>
      </c>
      <c r="J100" s="33" t="s">
        <v>604</v>
      </c>
      <c r="K100" s="33"/>
      <c r="R100" s="114"/>
      <c r="S100" s="114"/>
      <c r="T100" s="114"/>
      <c r="U100" s="114"/>
      <c r="V100" s="114"/>
      <c r="W100" s="32"/>
      <c r="X100" s="32"/>
      <c r="Y100" s="32"/>
      <c r="Z100" s="32"/>
      <c r="AA100" s="32"/>
      <c r="AB100" s="32"/>
    </row>
    <row r="101" spans="1:28" s="40" customFormat="1" ht="21" customHeight="1" x14ac:dyDescent="0.2">
      <c r="A101" s="40" t="s">
        <v>610</v>
      </c>
      <c r="B101" s="40" t="s">
        <v>611</v>
      </c>
      <c r="C101" s="197" t="s">
        <v>98</v>
      </c>
      <c r="D101" s="4"/>
      <c r="E101" s="4"/>
      <c r="F101" s="4"/>
      <c r="G101" s="4"/>
      <c r="H101" s="4">
        <v>4</v>
      </c>
      <c r="I101" s="4">
        <v>5</v>
      </c>
      <c r="J101" s="116" t="s">
        <v>604</v>
      </c>
      <c r="K101" s="116"/>
      <c r="L101" s="116"/>
      <c r="M101" s="116"/>
      <c r="N101" s="116"/>
      <c r="O101" s="116"/>
      <c r="P101" s="116"/>
      <c r="Q101" s="116"/>
      <c r="R101" s="114"/>
      <c r="S101" s="114"/>
      <c r="T101" s="114"/>
      <c r="U101" s="114"/>
      <c r="V101" s="114"/>
      <c r="W101" s="32"/>
      <c r="X101" s="32"/>
      <c r="Y101" s="32"/>
      <c r="Z101" s="32"/>
      <c r="AA101" s="32"/>
      <c r="AB101" s="32"/>
    </row>
    <row r="102" spans="1:28" s="34" customFormat="1" ht="21" customHeight="1" x14ac:dyDescent="0.2">
      <c r="A102" s="43" t="s">
        <v>612</v>
      </c>
      <c r="B102" s="32" t="s">
        <v>613</v>
      </c>
      <c r="C102" s="197" t="s">
        <v>98</v>
      </c>
      <c r="D102" s="4"/>
      <c r="E102" s="4"/>
      <c r="F102" s="4"/>
      <c r="G102" s="4"/>
      <c r="H102" s="4">
        <v>4</v>
      </c>
      <c r="I102" s="4">
        <v>5</v>
      </c>
      <c r="J102" s="33" t="s">
        <v>604</v>
      </c>
      <c r="K102" s="33"/>
      <c r="R102" s="114"/>
      <c r="S102" s="114"/>
      <c r="T102" s="114"/>
      <c r="U102" s="114"/>
      <c r="V102" s="114"/>
      <c r="W102" s="32"/>
      <c r="X102" s="32"/>
      <c r="Y102" s="32"/>
      <c r="Z102" s="32"/>
      <c r="AA102" s="32"/>
      <c r="AB102" s="32"/>
    </row>
    <row r="103" spans="1:28" s="40" customFormat="1" ht="21" customHeight="1" x14ac:dyDescent="0.2">
      <c r="A103" s="40" t="s">
        <v>614</v>
      </c>
      <c r="B103" s="40" t="s">
        <v>615</v>
      </c>
      <c r="C103" s="197" t="s">
        <v>98</v>
      </c>
      <c r="D103" s="4"/>
      <c r="E103" s="4"/>
      <c r="F103" s="4"/>
      <c r="G103" s="4"/>
      <c r="H103" s="4">
        <v>4</v>
      </c>
      <c r="I103" s="4">
        <v>5</v>
      </c>
      <c r="J103" s="116" t="s">
        <v>604</v>
      </c>
      <c r="K103" s="116"/>
      <c r="L103" s="116"/>
      <c r="M103" s="116"/>
      <c r="N103" s="116"/>
      <c r="O103" s="116"/>
      <c r="P103" s="116"/>
      <c r="Q103" s="116"/>
      <c r="R103" s="114"/>
      <c r="S103" s="114"/>
      <c r="T103" s="114"/>
      <c r="U103" s="114"/>
      <c r="V103" s="114"/>
      <c r="W103" s="32"/>
      <c r="X103" s="32"/>
      <c r="Y103" s="32"/>
      <c r="Z103" s="32"/>
      <c r="AA103" s="32"/>
      <c r="AB103" s="32"/>
    </row>
    <row r="104" spans="1:28" s="34" customFormat="1" ht="21" customHeight="1" x14ac:dyDescent="0.2">
      <c r="A104" s="43" t="s">
        <v>616</v>
      </c>
      <c r="B104" s="32" t="s">
        <v>617</v>
      </c>
      <c r="C104" s="197" t="s">
        <v>98</v>
      </c>
      <c r="D104" s="4"/>
      <c r="E104" s="4"/>
      <c r="F104" s="4"/>
      <c r="G104" s="4"/>
      <c r="H104" s="4">
        <v>4</v>
      </c>
      <c r="I104" s="4">
        <v>5</v>
      </c>
      <c r="J104" s="33"/>
      <c r="K104" s="33"/>
      <c r="R104" s="117" t="s">
        <v>618</v>
      </c>
      <c r="S104" s="114"/>
      <c r="T104" s="114"/>
      <c r="U104" s="114"/>
      <c r="V104" s="114"/>
      <c r="W104" s="32"/>
      <c r="X104" s="32"/>
      <c r="Y104" s="32"/>
      <c r="Z104" s="32"/>
      <c r="AA104" s="32"/>
      <c r="AB104" s="32"/>
    </row>
    <row r="105" spans="1:28" s="40" customFormat="1" ht="21" customHeight="1" x14ac:dyDescent="0.2">
      <c r="A105" s="40" t="s">
        <v>619</v>
      </c>
      <c r="B105" s="40" t="s">
        <v>620</v>
      </c>
      <c r="C105" s="197" t="s">
        <v>98</v>
      </c>
      <c r="D105" s="4"/>
      <c r="E105" s="4"/>
      <c r="F105" s="4"/>
      <c r="G105" s="4"/>
      <c r="H105" s="4">
        <v>4</v>
      </c>
      <c r="I105" s="4">
        <v>5</v>
      </c>
      <c r="J105" s="116" t="s">
        <v>621</v>
      </c>
      <c r="K105" s="116"/>
      <c r="L105" s="116"/>
      <c r="M105" s="116"/>
      <c r="N105" s="116"/>
      <c r="O105" s="116"/>
      <c r="P105" s="116"/>
      <c r="Q105" s="116"/>
      <c r="R105" s="114"/>
      <c r="S105" s="114"/>
      <c r="T105" s="114"/>
      <c r="U105" s="114"/>
      <c r="V105" s="114"/>
      <c r="W105" s="32"/>
      <c r="X105" s="32"/>
      <c r="Y105" s="32"/>
      <c r="Z105" s="32"/>
      <c r="AA105" s="32"/>
      <c r="AB105" s="32"/>
    </row>
    <row r="106" spans="1:28" s="34" customFormat="1" ht="21" customHeight="1" x14ac:dyDescent="0.2">
      <c r="A106" s="43" t="s">
        <v>622</v>
      </c>
      <c r="B106" s="32" t="s">
        <v>623</v>
      </c>
      <c r="C106" s="197" t="s">
        <v>98</v>
      </c>
      <c r="D106" s="4"/>
      <c r="E106" s="4"/>
      <c r="F106" s="4"/>
      <c r="G106" s="4"/>
      <c r="H106" s="4">
        <v>4</v>
      </c>
      <c r="I106" s="4">
        <v>5</v>
      </c>
      <c r="J106" s="33"/>
      <c r="K106" s="33"/>
      <c r="R106" s="114"/>
      <c r="S106" s="114"/>
      <c r="T106" s="114"/>
      <c r="U106" s="114"/>
      <c r="V106" s="114"/>
      <c r="W106" s="32"/>
      <c r="X106" s="32"/>
      <c r="Y106" s="32"/>
      <c r="Z106" s="32"/>
      <c r="AA106" s="32"/>
      <c r="AB106" s="32"/>
    </row>
    <row r="107" spans="1:28" s="40" customFormat="1" ht="21" customHeight="1" x14ac:dyDescent="0.2">
      <c r="A107" s="40" t="s">
        <v>624</v>
      </c>
      <c r="B107" s="40" t="s">
        <v>625</v>
      </c>
      <c r="C107" s="197" t="s">
        <v>98</v>
      </c>
      <c r="D107" s="4"/>
      <c r="E107" s="4"/>
      <c r="F107" s="4"/>
      <c r="G107" s="4"/>
      <c r="H107" s="4">
        <v>4</v>
      </c>
      <c r="I107" s="4">
        <v>5</v>
      </c>
      <c r="J107" s="116"/>
      <c r="K107" s="116"/>
      <c r="L107" s="116"/>
      <c r="M107" s="116"/>
      <c r="N107" s="116"/>
      <c r="O107" s="116"/>
      <c r="P107" s="116"/>
      <c r="Q107" s="116"/>
      <c r="R107" s="114"/>
      <c r="S107" s="114"/>
      <c r="T107" s="114"/>
      <c r="U107" s="114"/>
      <c r="V107" s="114"/>
      <c r="W107" s="32"/>
      <c r="X107" s="32"/>
      <c r="Y107" s="32"/>
      <c r="Z107" s="32"/>
      <c r="AA107" s="32"/>
      <c r="AB107" s="32"/>
    </row>
    <row r="108" spans="1:28" s="34" customFormat="1" ht="21" customHeight="1" x14ac:dyDescent="0.2">
      <c r="A108" s="43" t="s">
        <v>626</v>
      </c>
      <c r="B108" s="32" t="s">
        <v>627</v>
      </c>
      <c r="C108" s="197" t="s">
        <v>98</v>
      </c>
      <c r="D108" s="4"/>
      <c r="E108" s="4"/>
      <c r="F108" s="4"/>
      <c r="G108" s="4"/>
      <c r="H108" s="4">
        <v>4</v>
      </c>
      <c r="I108" s="4">
        <v>5</v>
      </c>
      <c r="J108" s="33"/>
      <c r="K108" s="33"/>
      <c r="R108" s="114"/>
      <c r="S108" s="114"/>
      <c r="T108" s="114"/>
      <c r="U108" s="114"/>
      <c r="V108" s="114"/>
      <c r="W108" s="32"/>
      <c r="X108" s="32"/>
      <c r="Y108" s="32"/>
      <c r="Z108" s="32"/>
      <c r="AA108" s="32"/>
      <c r="AB108" s="32"/>
    </row>
    <row r="109" spans="1:28" s="40" customFormat="1" ht="21" customHeight="1" x14ac:dyDescent="0.2">
      <c r="A109" s="40" t="s">
        <v>628</v>
      </c>
      <c r="B109" s="40" t="s">
        <v>629</v>
      </c>
      <c r="C109" s="197" t="s">
        <v>373</v>
      </c>
      <c r="D109" s="4"/>
      <c r="E109" s="4"/>
      <c r="F109" s="4"/>
      <c r="G109" s="4"/>
      <c r="H109" s="4">
        <v>4</v>
      </c>
      <c r="I109" s="4">
        <v>5</v>
      </c>
      <c r="J109" s="116" t="s">
        <v>630</v>
      </c>
      <c r="K109" s="116"/>
      <c r="L109" s="116"/>
      <c r="M109" s="116"/>
      <c r="N109" s="116"/>
      <c r="O109" s="116"/>
      <c r="P109" s="116"/>
      <c r="Q109" s="116"/>
      <c r="R109" s="117" t="s">
        <v>631</v>
      </c>
      <c r="S109" s="114"/>
      <c r="T109" s="114"/>
      <c r="U109" s="114"/>
      <c r="V109" s="114"/>
      <c r="W109" s="32"/>
      <c r="X109" s="32"/>
      <c r="Y109" s="32"/>
      <c r="Z109" s="32"/>
      <c r="AA109" s="32"/>
      <c r="AB109" s="32"/>
    </row>
    <row r="110" spans="1:28" s="34" customFormat="1" ht="21" customHeight="1" x14ac:dyDescent="0.2">
      <c r="A110" s="43" t="s">
        <v>632</v>
      </c>
      <c r="B110" s="32" t="s">
        <v>633</v>
      </c>
      <c r="C110" s="197" t="s">
        <v>98</v>
      </c>
      <c r="D110" s="4"/>
      <c r="E110" s="4"/>
      <c r="F110" s="4"/>
      <c r="G110" s="4"/>
      <c r="H110" s="4">
        <v>4</v>
      </c>
      <c r="I110" s="4">
        <v>5</v>
      </c>
      <c r="J110" s="33"/>
      <c r="K110" s="33"/>
      <c r="R110" s="114"/>
      <c r="S110" s="114"/>
      <c r="T110" s="114"/>
      <c r="U110" s="114"/>
      <c r="V110" s="114"/>
      <c r="W110" s="32"/>
      <c r="X110" s="32"/>
      <c r="Y110" s="32"/>
      <c r="Z110" s="32"/>
      <c r="AA110" s="32"/>
      <c r="AB110" s="32"/>
    </row>
    <row r="111" spans="1:28" s="40" customFormat="1" ht="21" customHeight="1" x14ac:dyDescent="0.2">
      <c r="A111" s="40" t="s">
        <v>634</v>
      </c>
      <c r="B111" s="40" t="s">
        <v>635</v>
      </c>
      <c r="C111" s="197" t="s">
        <v>98</v>
      </c>
      <c r="D111" s="4"/>
      <c r="E111" s="4"/>
      <c r="F111" s="4"/>
      <c r="G111" s="4"/>
      <c r="H111" s="4">
        <v>4</v>
      </c>
      <c r="I111" s="4">
        <v>5</v>
      </c>
      <c r="J111" s="116" t="s">
        <v>636</v>
      </c>
      <c r="K111" s="116"/>
      <c r="L111" s="116"/>
      <c r="M111" s="116"/>
      <c r="N111" s="116"/>
      <c r="O111" s="116"/>
      <c r="P111" s="116"/>
      <c r="Q111" s="116"/>
      <c r="R111" s="117" t="s">
        <v>637</v>
      </c>
      <c r="S111" s="114"/>
      <c r="T111" s="114"/>
      <c r="U111" s="114"/>
      <c r="V111" s="114"/>
      <c r="W111" s="32"/>
      <c r="X111" s="32"/>
      <c r="Y111" s="32"/>
      <c r="Z111" s="32"/>
      <c r="AA111" s="32"/>
      <c r="AB111" s="32"/>
    </row>
    <row r="112" spans="1:28" s="34" customFormat="1" ht="21" customHeight="1" x14ac:dyDescent="0.2">
      <c r="A112" s="43" t="s">
        <v>638</v>
      </c>
      <c r="B112" s="32" t="s">
        <v>639</v>
      </c>
      <c r="C112" s="197" t="s">
        <v>98</v>
      </c>
      <c r="D112" s="4"/>
      <c r="E112" s="4"/>
      <c r="F112" s="4"/>
      <c r="G112" s="4"/>
      <c r="H112" s="4">
        <v>4</v>
      </c>
      <c r="I112" s="4">
        <v>5</v>
      </c>
      <c r="J112" s="33"/>
      <c r="K112" s="33"/>
      <c r="R112" s="114"/>
      <c r="S112" s="114"/>
      <c r="T112" s="114"/>
      <c r="U112" s="114"/>
      <c r="V112" s="114"/>
      <c r="W112" s="32"/>
      <c r="X112" s="32"/>
      <c r="Y112" s="32"/>
      <c r="Z112" s="32"/>
      <c r="AA112" s="32"/>
      <c r="AB112" s="32"/>
    </row>
    <row r="113" spans="1:28" s="40" customFormat="1" ht="21" customHeight="1" x14ac:dyDescent="0.2">
      <c r="A113" s="40" t="s">
        <v>640</v>
      </c>
      <c r="B113" s="40" t="s">
        <v>641</v>
      </c>
      <c r="C113" s="197" t="s">
        <v>98</v>
      </c>
      <c r="D113" s="4"/>
      <c r="E113" s="4"/>
      <c r="F113" s="4"/>
      <c r="G113" s="4"/>
      <c r="H113" s="4">
        <v>4</v>
      </c>
      <c r="I113" s="4">
        <v>5</v>
      </c>
      <c r="J113" s="116" t="s">
        <v>636</v>
      </c>
      <c r="K113" s="116"/>
      <c r="L113" s="116"/>
      <c r="M113" s="116"/>
      <c r="N113" s="116"/>
      <c r="O113" s="116"/>
      <c r="P113" s="116"/>
      <c r="Q113" s="116"/>
      <c r="R113" s="114"/>
      <c r="S113" s="114"/>
      <c r="T113" s="114"/>
      <c r="U113" s="114"/>
      <c r="V113" s="114"/>
      <c r="W113" s="32"/>
      <c r="X113" s="32"/>
      <c r="Y113" s="32"/>
      <c r="Z113" s="32"/>
      <c r="AA113" s="32"/>
      <c r="AB113" s="32"/>
    </row>
    <row r="114" spans="1:28" s="34" customFormat="1" ht="21" customHeight="1" x14ac:dyDescent="0.2">
      <c r="A114" s="43" t="s">
        <v>642</v>
      </c>
      <c r="B114" s="32" t="s">
        <v>643</v>
      </c>
      <c r="C114" s="197" t="s">
        <v>98</v>
      </c>
      <c r="D114" s="4"/>
      <c r="E114" s="4"/>
      <c r="F114" s="4"/>
      <c r="G114" s="4"/>
      <c r="H114" s="4">
        <v>4</v>
      </c>
      <c r="I114" s="4">
        <v>5</v>
      </c>
      <c r="J114" s="33"/>
      <c r="K114" s="33"/>
      <c r="R114" s="114"/>
      <c r="S114" s="114"/>
      <c r="T114" s="114"/>
      <c r="U114" s="114"/>
      <c r="V114" s="114"/>
      <c r="W114" s="32"/>
      <c r="X114" s="32"/>
      <c r="Y114" s="32"/>
      <c r="Z114" s="32"/>
      <c r="AA114" s="32"/>
      <c r="AB114" s="32"/>
    </row>
    <row r="115" spans="1:28" s="40" customFormat="1" ht="21" customHeight="1" x14ac:dyDescent="0.2">
      <c r="A115" s="40" t="s">
        <v>644</v>
      </c>
      <c r="B115" s="40" t="s">
        <v>645</v>
      </c>
      <c r="C115" s="197" t="s">
        <v>98</v>
      </c>
      <c r="D115" s="4"/>
      <c r="E115" s="4"/>
      <c r="F115" s="4"/>
      <c r="G115" s="4"/>
      <c r="H115" s="4">
        <v>4</v>
      </c>
      <c r="I115" s="4">
        <v>5</v>
      </c>
      <c r="J115" s="116"/>
      <c r="K115" s="116"/>
      <c r="L115" s="116"/>
      <c r="M115" s="116"/>
      <c r="N115" s="116"/>
      <c r="O115" s="116"/>
      <c r="P115" s="116"/>
      <c r="Q115" s="116"/>
      <c r="R115" s="114"/>
      <c r="S115" s="114"/>
      <c r="T115" s="114"/>
      <c r="U115" s="114"/>
      <c r="V115" s="114"/>
      <c r="W115" s="32"/>
      <c r="X115" s="32"/>
      <c r="Y115" s="32"/>
      <c r="Z115" s="32"/>
      <c r="AA115" s="32"/>
      <c r="AB115" s="32"/>
    </row>
    <row r="116" spans="1:28" s="34" customFormat="1" ht="21" customHeight="1" x14ac:dyDescent="0.2">
      <c r="A116" s="43" t="s">
        <v>646</v>
      </c>
      <c r="B116" s="32" t="s">
        <v>647</v>
      </c>
      <c r="C116" s="197" t="s">
        <v>98</v>
      </c>
      <c r="D116" s="4"/>
      <c r="E116" s="4"/>
      <c r="F116" s="4"/>
      <c r="G116" s="4"/>
      <c r="H116" s="4">
        <v>4</v>
      </c>
      <c r="I116" s="4">
        <v>5</v>
      </c>
      <c r="J116" s="33"/>
      <c r="K116" s="33"/>
      <c r="R116" s="114"/>
      <c r="S116" s="114"/>
      <c r="T116" s="114"/>
      <c r="U116" s="114"/>
      <c r="V116" s="114"/>
      <c r="W116" s="32"/>
      <c r="X116" s="32"/>
      <c r="Y116" s="32"/>
      <c r="Z116" s="32"/>
      <c r="AA116" s="32"/>
      <c r="AB116" s="32"/>
    </row>
    <row r="117" spans="1:28" s="40" customFormat="1" ht="21" customHeight="1" x14ac:dyDescent="0.2">
      <c r="A117" s="40" t="s">
        <v>648</v>
      </c>
      <c r="B117" s="40" t="s">
        <v>649</v>
      </c>
      <c r="C117" s="197" t="s">
        <v>98</v>
      </c>
      <c r="D117" s="4"/>
      <c r="E117" s="4"/>
      <c r="F117" s="4"/>
      <c r="G117" s="4"/>
      <c r="H117" s="4">
        <v>4</v>
      </c>
      <c r="I117" s="4">
        <v>5</v>
      </c>
      <c r="J117" s="116"/>
      <c r="K117" s="116"/>
      <c r="L117" s="116"/>
      <c r="M117" s="116"/>
      <c r="N117" s="116"/>
      <c r="O117" s="116"/>
      <c r="P117" s="116"/>
      <c r="Q117" s="116"/>
      <c r="R117" s="114"/>
      <c r="S117" s="114"/>
      <c r="T117" s="114"/>
      <c r="U117" s="114"/>
      <c r="V117" s="114"/>
      <c r="W117" s="32"/>
      <c r="X117" s="32"/>
      <c r="Y117" s="32"/>
      <c r="Z117" s="32"/>
      <c r="AA117" s="32"/>
      <c r="AB117" s="32"/>
    </row>
    <row r="118" spans="1:28" s="34" customFormat="1" ht="21" customHeight="1" x14ac:dyDescent="0.2">
      <c r="A118" s="43" t="s">
        <v>650</v>
      </c>
      <c r="B118" s="32" t="s">
        <v>651</v>
      </c>
      <c r="C118" s="197" t="s">
        <v>98</v>
      </c>
      <c r="D118" s="4"/>
      <c r="E118" s="4"/>
      <c r="F118" s="4"/>
      <c r="G118" s="4"/>
      <c r="H118" s="4">
        <v>4</v>
      </c>
      <c r="I118" s="4">
        <v>5</v>
      </c>
      <c r="J118" s="33"/>
      <c r="K118" s="33"/>
      <c r="R118" s="114"/>
      <c r="S118" s="114"/>
      <c r="T118" s="114"/>
      <c r="U118" s="114"/>
      <c r="V118" s="114"/>
      <c r="W118" s="32"/>
      <c r="X118" s="32"/>
      <c r="Y118" s="32"/>
      <c r="Z118" s="32"/>
      <c r="AA118" s="32"/>
      <c r="AB118" s="32"/>
    </row>
    <row r="119" spans="1:28" s="40" customFormat="1" ht="21" customHeight="1" x14ac:dyDescent="0.2">
      <c r="A119" s="40" t="s">
        <v>652</v>
      </c>
      <c r="B119" s="40" t="s">
        <v>653</v>
      </c>
      <c r="C119" s="197" t="s">
        <v>98</v>
      </c>
      <c r="D119" s="4"/>
      <c r="E119" s="4"/>
      <c r="F119" s="4"/>
      <c r="G119" s="4"/>
      <c r="H119" s="4">
        <v>4</v>
      </c>
      <c r="I119" s="4">
        <v>5</v>
      </c>
      <c r="J119" s="116"/>
      <c r="K119" s="116"/>
      <c r="L119" s="116"/>
      <c r="M119" s="116"/>
      <c r="N119" s="116"/>
      <c r="O119" s="116"/>
      <c r="P119" s="116"/>
      <c r="Q119" s="116"/>
      <c r="R119" s="114"/>
      <c r="S119" s="114"/>
      <c r="T119" s="114"/>
      <c r="U119" s="114"/>
      <c r="V119" s="114"/>
      <c r="W119" s="32"/>
      <c r="X119" s="32"/>
      <c r="Y119" s="32"/>
      <c r="Z119" s="32"/>
      <c r="AA119" s="32"/>
      <c r="AB119" s="32"/>
    </row>
    <row r="120" spans="1:28" s="34" customFormat="1" ht="21" customHeight="1" x14ac:dyDescent="0.2">
      <c r="A120" s="43" t="s">
        <v>654</v>
      </c>
      <c r="B120" s="32" t="s">
        <v>655</v>
      </c>
      <c r="C120" s="197" t="s">
        <v>98</v>
      </c>
      <c r="D120" s="4"/>
      <c r="E120" s="4"/>
      <c r="F120" s="4"/>
      <c r="G120" s="4"/>
      <c r="H120" s="4">
        <v>4</v>
      </c>
      <c r="I120" s="4">
        <v>5</v>
      </c>
      <c r="J120" s="33"/>
      <c r="K120" s="33"/>
      <c r="R120" s="114"/>
      <c r="S120" s="114"/>
      <c r="T120" s="114"/>
      <c r="U120" s="114"/>
      <c r="V120" s="114"/>
      <c r="W120" s="32"/>
      <c r="X120" s="32"/>
      <c r="Y120" s="32"/>
      <c r="Z120" s="32"/>
      <c r="AA120" s="32"/>
      <c r="AB120" s="32"/>
    </row>
    <row r="121" spans="1:28" s="40" customFormat="1" ht="21" customHeight="1" x14ac:dyDescent="0.2">
      <c r="A121" s="40" t="s">
        <v>656</v>
      </c>
      <c r="B121" s="40" t="s">
        <v>657</v>
      </c>
      <c r="C121" s="197" t="s">
        <v>98</v>
      </c>
      <c r="D121" s="4"/>
      <c r="E121" s="4"/>
      <c r="F121" s="4"/>
      <c r="G121" s="4"/>
      <c r="H121" s="4">
        <v>4</v>
      </c>
      <c r="I121" s="4">
        <v>5</v>
      </c>
      <c r="J121" s="116"/>
      <c r="K121" s="116"/>
      <c r="L121" s="116"/>
      <c r="M121" s="116"/>
      <c r="N121" s="116"/>
      <c r="O121" s="116"/>
      <c r="P121" s="116"/>
      <c r="Q121" s="116"/>
      <c r="R121" s="116"/>
      <c r="S121" s="116"/>
      <c r="T121" s="116"/>
      <c r="U121" s="116"/>
      <c r="V121" s="116"/>
    </row>
    <row r="122" spans="1:28" s="34" customFormat="1" ht="21" customHeight="1" x14ac:dyDescent="0.2">
      <c r="A122" s="43" t="s">
        <v>658</v>
      </c>
      <c r="B122" s="32" t="s">
        <v>659</v>
      </c>
      <c r="C122" s="197" t="s">
        <v>98</v>
      </c>
      <c r="D122" s="4"/>
      <c r="E122" s="4"/>
      <c r="F122" s="4"/>
      <c r="G122" s="4"/>
      <c r="H122" s="4">
        <v>4</v>
      </c>
      <c r="I122" s="4">
        <v>5</v>
      </c>
      <c r="J122" s="33" t="s">
        <v>660</v>
      </c>
      <c r="K122" s="33"/>
    </row>
    <row r="123" spans="1:28" s="40" customFormat="1" ht="21" customHeight="1" x14ac:dyDescent="0.2">
      <c r="A123" s="40" t="s">
        <v>661</v>
      </c>
      <c r="B123" s="40" t="s">
        <v>662</v>
      </c>
      <c r="C123" s="197" t="s">
        <v>98</v>
      </c>
      <c r="D123" s="4"/>
      <c r="E123" s="4"/>
      <c r="F123" s="4"/>
      <c r="G123" s="4"/>
      <c r="H123" s="4">
        <v>4</v>
      </c>
      <c r="I123" s="4">
        <v>5</v>
      </c>
      <c r="J123" s="116"/>
      <c r="K123" s="116"/>
      <c r="L123" s="116"/>
      <c r="M123" s="116"/>
      <c r="N123" s="116"/>
      <c r="O123" s="116"/>
      <c r="P123" s="116"/>
      <c r="Q123" s="116"/>
      <c r="R123" s="116"/>
      <c r="S123" s="116"/>
      <c r="T123" s="116"/>
      <c r="U123" s="116"/>
      <c r="V123" s="116"/>
    </row>
    <row r="124" spans="1:28" s="34" customFormat="1" ht="21" customHeight="1" x14ac:dyDescent="0.2">
      <c r="A124" s="43" t="s">
        <v>663</v>
      </c>
      <c r="B124" s="32" t="s">
        <v>664</v>
      </c>
      <c r="C124" s="197" t="s">
        <v>98</v>
      </c>
      <c r="D124" s="4"/>
      <c r="E124" s="4"/>
      <c r="F124" s="4"/>
      <c r="G124" s="4"/>
      <c r="H124" s="4">
        <v>4</v>
      </c>
      <c r="I124" s="4">
        <v>5</v>
      </c>
      <c r="J124" s="33"/>
      <c r="K124" s="33"/>
    </row>
    <row r="125" spans="1:28" s="40" customFormat="1" ht="21" customHeight="1" x14ac:dyDescent="0.2">
      <c r="A125" s="40" t="s">
        <v>665</v>
      </c>
      <c r="B125" s="40" t="s">
        <v>666</v>
      </c>
      <c r="C125" s="197" t="s">
        <v>98</v>
      </c>
      <c r="D125" s="4"/>
      <c r="E125" s="4"/>
      <c r="F125" s="4"/>
      <c r="G125" s="4"/>
      <c r="H125" s="4">
        <v>4</v>
      </c>
      <c r="I125" s="4">
        <v>5</v>
      </c>
      <c r="J125" s="116"/>
      <c r="K125" s="116"/>
      <c r="L125" s="116"/>
      <c r="M125" s="116"/>
      <c r="N125" s="116"/>
      <c r="O125" s="116"/>
      <c r="P125" s="116"/>
      <c r="Q125" s="116"/>
      <c r="R125" s="116"/>
      <c r="S125" s="116"/>
      <c r="T125" s="116"/>
      <c r="U125" s="116"/>
      <c r="V125" s="116"/>
    </row>
    <row r="126" spans="1:28" s="55" customFormat="1" ht="21" customHeight="1" x14ac:dyDescent="0.2">
      <c r="A126" s="40" t="s">
        <v>667</v>
      </c>
      <c r="B126" s="213" t="s">
        <v>668</v>
      </c>
      <c r="C126" s="210" t="s">
        <v>370</v>
      </c>
      <c r="D126" s="211"/>
      <c r="E126" s="209"/>
      <c r="F126" s="209"/>
      <c r="G126" s="209"/>
      <c r="H126" s="209"/>
      <c r="I126" s="209"/>
      <c r="J126" s="119"/>
      <c r="K126" s="119"/>
      <c r="L126" s="119"/>
      <c r="M126" s="119"/>
      <c r="N126" s="119"/>
      <c r="O126" s="119"/>
      <c r="P126" s="119"/>
      <c r="Q126" s="119"/>
      <c r="R126" s="119"/>
      <c r="S126" s="119"/>
      <c r="T126" s="119"/>
      <c r="U126" s="119"/>
      <c r="V126" s="119"/>
    </row>
    <row r="127" spans="1:28" s="55" customFormat="1" ht="21" customHeight="1" x14ac:dyDescent="0.2">
      <c r="A127" s="40" t="s">
        <v>669</v>
      </c>
      <c r="B127" s="213" t="s">
        <v>670</v>
      </c>
      <c r="C127" s="210" t="s">
        <v>370</v>
      </c>
      <c r="D127" s="211"/>
      <c r="E127" s="209"/>
      <c r="F127" s="209"/>
      <c r="G127" s="209"/>
      <c r="H127" s="209"/>
      <c r="I127" s="209"/>
      <c r="J127" s="119"/>
      <c r="K127" s="119"/>
      <c r="L127" s="119"/>
      <c r="M127" s="119"/>
      <c r="N127" s="119"/>
      <c r="O127" s="119"/>
      <c r="P127" s="119"/>
      <c r="Q127" s="119"/>
      <c r="R127" s="119"/>
      <c r="S127" s="119"/>
      <c r="T127" s="119"/>
      <c r="U127" s="119"/>
      <c r="V127" s="119"/>
    </row>
    <row r="128" spans="1:28" s="55" customFormat="1" ht="21" customHeight="1" x14ac:dyDescent="0.2">
      <c r="A128" s="40" t="s">
        <v>671</v>
      </c>
      <c r="B128" s="213" t="s">
        <v>672</v>
      </c>
      <c r="C128" s="210" t="s">
        <v>370</v>
      </c>
      <c r="D128" s="211"/>
      <c r="E128" s="209"/>
      <c r="F128" s="209"/>
      <c r="G128" s="209"/>
      <c r="H128" s="209"/>
      <c r="I128" s="209"/>
      <c r="J128" s="119"/>
      <c r="K128" s="119"/>
      <c r="L128" s="119"/>
      <c r="M128" s="119"/>
      <c r="N128" s="119"/>
      <c r="O128" s="119"/>
      <c r="P128" s="119"/>
      <c r="Q128" s="119"/>
      <c r="R128" s="119"/>
      <c r="S128" s="119"/>
      <c r="T128" s="119"/>
      <c r="U128" s="119"/>
      <c r="V128" s="119"/>
    </row>
    <row r="129" spans="1:27" s="212" customFormat="1" ht="19.5" customHeight="1" x14ac:dyDescent="0.2">
      <c r="A129" s="40" t="s">
        <v>673</v>
      </c>
      <c r="B129" s="213" t="s">
        <v>674</v>
      </c>
      <c r="C129" s="210" t="s">
        <v>367</v>
      </c>
      <c r="D129" s="211"/>
      <c r="E129" s="29"/>
      <c r="F129" s="29"/>
      <c r="G129" s="29"/>
      <c r="H129" s="29"/>
      <c r="I129" s="29"/>
      <c r="J129" s="29"/>
      <c r="K129" s="29"/>
      <c r="L129" s="29"/>
      <c r="M129" s="29"/>
      <c r="N129" s="29"/>
      <c r="O129" s="29"/>
      <c r="P129" s="29"/>
      <c r="Q129" s="29"/>
    </row>
    <row r="130" spans="1:27" s="34" customFormat="1" ht="22.5" customHeight="1" x14ac:dyDescent="0.2">
      <c r="A130" s="40" t="s">
        <v>675</v>
      </c>
      <c r="B130" s="213" t="s">
        <v>676</v>
      </c>
      <c r="C130" s="210" t="s">
        <v>364</v>
      </c>
      <c r="D130" s="211"/>
      <c r="E130" s="4"/>
      <c r="F130" s="4"/>
      <c r="G130" s="4"/>
      <c r="H130" s="4">
        <v>4</v>
      </c>
      <c r="I130" s="4">
        <v>5</v>
      </c>
      <c r="J130" s="33" t="s">
        <v>677</v>
      </c>
      <c r="K130" s="33"/>
    </row>
    <row r="131" spans="1:27" s="40" customFormat="1" ht="22.5" customHeight="1" x14ac:dyDescent="0.2">
      <c r="A131" s="40" t="s">
        <v>678</v>
      </c>
      <c r="B131" s="213" t="s">
        <v>679</v>
      </c>
      <c r="C131" s="210" t="s">
        <v>364</v>
      </c>
      <c r="D131" s="211"/>
      <c r="E131" s="4"/>
      <c r="F131" s="4"/>
      <c r="G131" s="4"/>
      <c r="H131" s="4">
        <v>4</v>
      </c>
      <c r="I131" s="4">
        <v>5</v>
      </c>
      <c r="J131" s="116" t="s">
        <v>680</v>
      </c>
      <c r="K131" s="116"/>
      <c r="L131" s="116"/>
      <c r="M131" s="116"/>
      <c r="N131" s="116"/>
      <c r="O131" s="116"/>
      <c r="P131" s="116"/>
      <c r="Q131" s="116"/>
      <c r="R131" s="116"/>
      <c r="S131" s="116"/>
      <c r="T131" s="116"/>
      <c r="U131" s="116"/>
      <c r="V131" s="116"/>
    </row>
    <row r="132" spans="1:27" s="34" customFormat="1" ht="18.75" customHeight="1" x14ac:dyDescent="0.2">
      <c r="A132" s="40" t="s">
        <v>681</v>
      </c>
      <c r="B132" s="213" t="s">
        <v>682</v>
      </c>
      <c r="C132" s="210" t="s">
        <v>370</v>
      </c>
      <c r="D132" s="211"/>
      <c r="E132" s="4"/>
      <c r="F132" s="4"/>
      <c r="G132" s="4"/>
      <c r="H132" s="4">
        <v>4</v>
      </c>
      <c r="I132" s="4">
        <v>5</v>
      </c>
      <c r="J132" s="33"/>
      <c r="K132" s="33"/>
    </row>
    <row r="133" spans="1:27" s="40" customFormat="1" ht="18.75" customHeight="1" x14ac:dyDescent="0.2">
      <c r="A133" s="40" t="s">
        <v>683</v>
      </c>
      <c r="B133" s="213" t="s">
        <v>684</v>
      </c>
      <c r="C133" s="210" t="s">
        <v>370</v>
      </c>
      <c r="D133" s="211"/>
      <c r="E133" s="4"/>
      <c r="F133" s="4"/>
      <c r="G133" s="4"/>
      <c r="H133" s="4">
        <v>4</v>
      </c>
      <c r="I133" s="4">
        <v>5</v>
      </c>
      <c r="J133" s="116"/>
      <c r="K133" s="116"/>
      <c r="L133" s="116"/>
      <c r="M133" s="116"/>
      <c r="N133" s="116"/>
      <c r="O133" s="116"/>
      <c r="P133" s="116"/>
      <c r="Q133" s="116"/>
      <c r="R133" s="116"/>
      <c r="S133" s="116"/>
      <c r="T133" s="116"/>
      <c r="U133" s="116"/>
      <c r="V133" s="116"/>
    </row>
    <row r="134" spans="1:27" s="34" customFormat="1" ht="18.75" customHeight="1" x14ac:dyDescent="0.2">
      <c r="A134" s="40" t="s">
        <v>685</v>
      </c>
      <c r="B134" s="214" t="s">
        <v>686</v>
      </c>
      <c r="C134" s="210" t="s">
        <v>370</v>
      </c>
      <c r="D134" s="211"/>
      <c r="E134" s="4"/>
      <c r="F134" s="4"/>
      <c r="G134" s="4"/>
      <c r="H134" s="4">
        <v>4</v>
      </c>
      <c r="I134" s="4">
        <v>5</v>
      </c>
      <c r="J134" s="33"/>
      <c r="K134" s="33"/>
    </row>
    <row r="135" spans="1:27" s="40" customFormat="1" ht="18.75" customHeight="1" x14ac:dyDescent="0.2">
      <c r="A135" s="40" t="s">
        <v>687</v>
      </c>
      <c r="B135" s="213" t="s">
        <v>688</v>
      </c>
      <c r="C135" s="210" t="s">
        <v>370</v>
      </c>
      <c r="D135" s="211"/>
      <c r="E135" s="4"/>
      <c r="F135" s="4"/>
      <c r="G135" s="4"/>
      <c r="H135" s="4">
        <v>4</v>
      </c>
      <c r="I135" s="4">
        <v>5</v>
      </c>
      <c r="J135" s="116" t="s">
        <v>689</v>
      </c>
      <c r="K135" s="116"/>
      <c r="L135" s="116"/>
      <c r="M135" s="116"/>
      <c r="N135" s="116"/>
      <c r="O135" s="116"/>
      <c r="P135" s="116"/>
      <c r="Q135" s="116"/>
      <c r="R135" s="116"/>
      <c r="S135" s="116"/>
      <c r="T135" s="116"/>
      <c r="U135" s="116"/>
      <c r="V135" s="116"/>
    </row>
    <row r="136" spans="1:27" s="40" customFormat="1" ht="18.75" customHeight="1" x14ac:dyDescent="0.2">
      <c r="A136" s="28" t="s">
        <v>690</v>
      </c>
      <c r="B136" s="28"/>
      <c r="C136" s="29"/>
      <c r="D136" s="29"/>
      <c r="E136" s="4"/>
      <c r="F136" s="4"/>
      <c r="G136" s="4"/>
      <c r="H136" s="4">
        <v>4</v>
      </c>
      <c r="I136" s="4">
        <v>5</v>
      </c>
      <c r="J136" s="116"/>
      <c r="K136" s="116"/>
      <c r="L136" s="116"/>
      <c r="M136" s="116"/>
      <c r="N136" s="116"/>
      <c r="O136" s="116"/>
      <c r="P136" s="116"/>
      <c r="Q136" s="116"/>
      <c r="R136" s="29"/>
      <c r="S136" s="29"/>
      <c r="T136" s="29"/>
      <c r="U136" s="29"/>
      <c r="V136" s="29"/>
      <c r="W136" s="29"/>
      <c r="X136" s="29"/>
      <c r="Y136" s="29"/>
      <c r="Z136" s="29"/>
      <c r="AA136" s="29"/>
    </row>
    <row r="137" spans="1:27" s="34" customFormat="1" ht="18.75" customHeight="1" x14ac:dyDescent="0.2">
      <c r="A137" s="43" t="s">
        <v>691</v>
      </c>
      <c r="B137" s="32" t="s">
        <v>692</v>
      </c>
      <c r="C137" s="197" t="s">
        <v>98</v>
      </c>
      <c r="D137" s="4"/>
      <c r="E137" s="4"/>
      <c r="F137" s="4"/>
      <c r="G137" s="4"/>
      <c r="H137" s="4">
        <v>4</v>
      </c>
      <c r="I137" s="4">
        <v>5</v>
      </c>
      <c r="J137" s="33"/>
      <c r="K137" s="33"/>
    </row>
    <row r="138" spans="1:27" s="212" customFormat="1" ht="19.5" customHeight="1" x14ac:dyDescent="0.2">
      <c r="A138" s="40" t="s">
        <v>693</v>
      </c>
      <c r="B138" s="40" t="s">
        <v>694</v>
      </c>
      <c r="C138" s="197" t="s">
        <v>98</v>
      </c>
      <c r="D138" s="4"/>
      <c r="E138" s="29"/>
      <c r="F138" s="29"/>
      <c r="G138" s="29"/>
      <c r="H138" s="29"/>
      <c r="I138" s="29"/>
      <c r="J138" s="29"/>
      <c r="K138" s="29"/>
      <c r="L138" s="29"/>
      <c r="M138" s="29"/>
      <c r="N138" s="29"/>
      <c r="O138" s="29"/>
      <c r="P138" s="29"/>
      <c r="Q138" s="29"/>
    </row>
    <row r="139" spans="1:27" s="34" customFormat="1" ht="18.75" customHeight="1" x14ac:dyDescent="0.2">
      <c r="A139" s="43" t="s">
        <v>695</v>
      </c>
      <c r="B139" s="32" t="s">
        <v>696</v>
      </c>
      <c r="C139" s="197" t="s">
        <v>98</v>
      </c>
      <c r="D139" s="4"/>
      <c r="E139" s="4"/>
      <c r="F139" s="4"/>
      <c r="G139" s="4"/>
      <c r="H139" s="4">
        <v>4</v>
      </c>
      <c r="I139" s="4">
        <v>5</v>
      </c>
      <c r="J139" s="33"/>
      <c r="K139" s="33"/>
    </row>
    <row r="140" spans="1:27" s="40" customFormat="1" ht="18.75" customHeight="1" x14ac:dyDescent="0.2">
      <c r="A140" s="40" t="s">
        <v>697</v>
      </c>
      <c r="B140" s="40" t="s">
        <v>698</v>
      </c>
      <c r="C140" s="197" t="s">
        <v>98</v>
      </c>
      <c r="D140" s="4"/>
      <c r="E140" s="4"/>
      <c r="F140" s="4"/>
      <c r="G140" s="4"/>
      <c r="H140" s="4">
        <v>4</v>
      </c>
      <c r="I140" s="4">
        <v>5</v>
      </c>
      <c r="J140" s="116" t="s">
        <v>699</v>
      </c>
      <c r="K140" s="116"/>
      <c r="L140" s="116"/>
      <c r="M140" s="116"/>
      <c r="N140" s="116"/>
      <c r="O140" s="116"/>
      <c r="P140" s="116"/>
      <c r="Q140" s="116"/>
      <c r="R140" s="116"/>
      <c r="S140" s="116"/>
      <c r="T140" s="116"/>
      <c r="U140" s="116"/>
      <c r="V140" s="116"/>
    </row>
    <row r="141" spans="1:27" s="34" customFormat="1" ht="18.75" customHeight="1" x14ac:dyDescent="0.2">
      <c r="A141" s="43" t="s">
        <v>700</v>
      </c>
      <c r="B141" s="32" t="s">
        <v>701</v>
      </c>
      <c r="C141" s="197" t="s">
        <v>98</v>
      </c>
      <c r="D141" s="4"/>
      <c r="E141" s="4"/>
      <c r="F141" s="4"/>
      <c r="G141" s="4"/>
      <c r="H141" s="4">
        <v>4</v>
      </c>
      <c r="I141" s="4">
        <v>5</v>
      </c>
      <c r="J141" s="33"/>
      <c r="K141" s="33"/>
    </row>
    <row r="142" spans="1:27" s="40" customFormat="1" ht="18.75" customHeight="1" x14ac:dyDescent="0.2">
      <c r="A142" s="40" t="s">
        <v>702</v>
      </c>
      <c r="B142" s="40" t="s">
        <v>703</v>
      </c>
      <c r="C142" s="197" t="s">
        <v>98</v>
      </c>
      <c r="D142" s="4"/>
      <c r="E142" s="4"/>
      <c r="F142" s="4"/>
      <c r="G142" s="4"/>
      <c r="H142" s="4">
        <v>4</v>
      </c>
      <c r="I142" s="4">
        <v>5</v>
      </c>
      <c r="J142" s="116" t="s">
        <v>704</v>
      </c>
      <c r="K142" s="116"/>
      <c r="L142" s="116"/>
      <c r="M142" s="116"/>
      <c r="N142" s="116"/>
      <c r="O142" s="116"/>
      <c r="P142" s="116"/>
      <c r="Q142" s="116"/>
      <c r="R142" s="116"/>
      <c r="S142" s="116"/>
      <c r="T142" s="116"/>
      <c r="U142" s="116"/>
      <c r="V142" s="116"/>
    </row>
    <row r="143" spans="1:27" s="34" customFormat="1" ht="18.75" customHeight="1" x14ac:dyDescent="0.2">
      <c r="A143" s="43" t="s">
        <v>705</v>
      </c>
      <c r="B143" s="32" t="s">
        <v>706</v>
      </c>
      <c r="C143" s="197" t="s">
        <v>98</v>
      </c>
      <c r="D143" s="4"/>
      <c r="E143" s="4"/>
      <c r="F143" s="4"/>
      <c r="G143" s="4"/>
      <c r="H143" s="4">
        <v>4</v>
      </c>
      <c r="I143" s="4">
        <v>5</v>
      </c>
      <c r="J143" s="33"/>
      <c r="K143" s="33"/>
    </row>
    <row r="144" spans="1:27" s="40" customFormat="1" ht="18.75" customHeight="1" x14ac:dyDescent="0.2">
      <c r="A144" s="40" t="s">
        <v>707</v>
      </c>
      <c r="B144" s="40" t="s">
        <v>708</v>
      </c>
      <c r="C144" s="197" t="s">
        <v>98</v>
      </c>
      <c r="D144" s="4"/>
      <c r="E144" s="4"/>
      <c r="F144" s="4"/>
      <c r="G144" s="4"/>
      <c r="H144" s="4">
        <v>4</v>
      </c>
      <c r="I144" s="4">
        <v>5</v>
      </c>
      <c r="J144" s="116"/>
      <c r="K144" s="116"/>
      <c r="L144" s="116"/>
      <c r="M144" s="116"/>
      <c r="N144" s="116"/>
      <c r="O144" s="116"/>
      <c r="P144" s="116"/>
      <c r="Q144" s="116"/>
      <c r="R144" s="116"/>
      <c r="S144" s="116"/>
      <c r="T144" s="116"/>
      <c r="U144" s="116"/>
      <c r="V144" s="116"/>
    </row>
    <row r="145" spans="1:22" s="34" customFormat="1" ht="18.75" customHeight="1" x14ac:dyDescent="0.2">
      <c r="A145" s="43" t="s">
        <v>709</v>
      </c>
      <c r="B145" s="32" t="s">
        <v>710</v>
      </c>
      <c r="C145" s="197" t="s">
        <v>98</v>
      </c>
      <c r="D145" s="4"/>
      <c r="E145" s="4"/>
      <c r="F145" s="4"/>
      <c r="G145" s="4"/>
      <c r="H145" s="4">
        <v>4</v>
      </c>
      <c r="I145" s="4">
        <v>5</v>
      </c>
      <c r="J145" s="33"/>
      <c r="K145" s="33"/>
    </row>
    <row r="146" spans="1:22" s="40" customFormat="1" ht="18.75" customHeight="1" x14ac:dyDescent="0.2">
      <c r="A146" s="40" t="s">
        <v>711</v>
      </c>
      <c r="B146" s="40" t="s">
        <v>712</v>
      </c>
      <c r="C146" s="197" t="s">
        <v>98</v>
      </c>
      <c r="D146" s="4"/>
      <c r="E146" s="4"/>
      <c r="F146" s="4"/>
      <c r="G146" s="4"/>
      <c r="H146" s="4">
        <v>4</v>
      </c>
      <c r="I146" s="4">
        <v>5</v>
      </c>
      <c r="J146" s="116"/>
      <c r="K146" s="116"/>
      <c r="L146" s="116"/>
      <c r="M146" s="116"/>
      <c r="N146" s="116"/>
      <c r="O146" s="116"/>
      <c r="P146" s="116"/>
      <c r="Q146" s="116"/>
      <c r="R146" s="116"/>
      <c r="S146" s="116"/>
      <c r="T146" s="116"/>
      <c r="U146" s="116"/>
      <c r="V146" s="116"/>
    </row>
    <row r="147" spans="1:22" s="34" customFormat="1" ht="18.75" customHeight="1" x14ac:dyDescent="0.2">
      <c r="A147" s="43" t="s">
        <v>713</v>
      </c>
      <c r="B147" s="32" t="s">
        <v>714</v>
      </c>
      <c r="C147" s="197" t="s">
        <v>98</v>
      </c>
      <c r="D147" s="4"/>
      <c r="E147" s="4"/>
      <c r="F147" s="4"/>
      <c r="G147" s="4"/>
      <c r="H147" s="4">
        <v>4</v>
      </c>
      <c r="I147" s="4">
        <v>5</v>
      </c>
      <c r="J147" s="33"/>
      <c r="K147" s="33"/>
    </row>
    <row r="148" spans="1:22" s="34" customFormat="1" ht="18.75" customHeight="1" x14ac:dyDescent="0.2">
      <c r="A148" s="201" t="s">
        <v>715</v>
      </c>
      <c r="B148" s="201" t="s">
        <v>716</v>
      </c>
      <c r="C148" s="120" t="s">
        <v>98</v>
      </c>
      <c r="D148" s="209"/>
      <c r="E148" s="4"/>
      <c r="F148" s="4"/>
      <c r="G148" s="4"/>
      <c r="H148" s="4"/>
      <c r="I148" s="4"/>
      <c r="J148" s="33"/>
      <c r="K148" s="33"/>
    </row>
    <row r="149" spans="1:22" s="40" customFormat="1" ht="18.75" customHeight="1" x14ac:dyDescent="0.2">
      <c r="A149" s="28" t="s">
        <v>717</v>
      </c>
      <c r="B149" s="28"/>
      <c r="C149" s="29"/>
      <c r="D149" s="29"/>
      <c r="E149" s="4"/>
      <c r="F149" s="4"/>
      <c r="G149" s="4"/>
      <c r="H149" s="4">
        <v>4</v>
      </c>
      <c r="I149" s="4">
        <v>5</v>
      </c>
      <c r="J149" s="116"/>
      <c r="K149" s="116"/>
      <c r="L149" s="116"/>
      <c r="M149" s="116"/>
      <c r="N149" s="116"/>
      <c r="O149" s="116"/>
      <c r="P149" s="116"/>
      <c r="Q149" s="116"/>
      <c r="R149" s="116"/>
      <c r="S149" s="116"/>
      <c r="T149" s="116"/>
      <c r="U149" s="116"/>
      <c r="V149" s="116"/>
    </row>
    <row r="150" spans="1:22" s="34" customFormat="1" ht="18.75" customHeight="1" x14ac:dyDescent="0.2">
      <c r="A150" s="43" t="s">
        <v>718</v>
      </c>
      <c r="B150" s="32" t="s">
        <v>719</v>
      </c>
      <c r="C150" s="197" t="s">
        <v>98</v>
      </c>
      <c r="D150" s="4"/>
      <c r="E150" s="4"/>
      <c r="F150" s="4"/>
      <c r="G150" s="4"/>
      <c r="H150" s="4">
        <v>4</v>
      </c>
      <c r="I150" s="4">
        <v>5</v>
      </c>
      <c r="J150" s="33"/>
      <c r="K150" s="33"/>
    </row>
    <row r="151" spans="1:22" s="40" customFormat="1" ht="18.75" customHeight="1" x14ac:dyDescent="0.2">
      <c r="A151" s="40" t="s">
        <v>720</v>
      </c>
      <c r="B151" s="40" t="s">
        <v>721</v>
      </c>
      <c r="C151" s="197" t="s">
        <v>98</v>
      </c>
      <c r="D151" s="4"/>
      <c r="E151" s="4"/>
      <c r="F151" s="4"/>
      <c r="G151" s="4"/>
      <c r="H151" s="4">
        <v>4</v>
      </c>
      <c r="I151" s="4">
        <v>5</v>
      </c>
      <c r="J151" s="116"/>
      <c r="K151" s="116"/>
      <c r="L151" s="116"/>
      <c r="M151" s="116"/>
      <c r="N151" s="116"/>
      <c r="O151" s="116"/>
      <c r="P151" s="116"/>
      <c r="Q151" s="116"/>
      <c r="R151" s="116"/>
      <c r="S151" s="116"/>
      <c r="T151" s="116"/>
      <c r="U151" s="116"/>
      <c r="V151" s="116"/>
    </row>
    <row r="152" spans="1:22" s="34" customFormat="1" ht="18.75" customHeight="1" x14ac:dyDescent="0.2">
      <c r="A152" s="43" t="s">
        <v>722</v>
      </c>
      <c r="B152" s="32" t="s">
        <v>723</v>
      </c>
      <c r="C152" s="197" t="s">
        <v>98</v>
      </c>
      <c r="D152" s="4"/>
      <c r="E152" s="4"/>
      <c r="F152" s="4"/>
      <c r="G152" s="4"/>
      <c r="H152" s="4">
        <v>4</v>
      </c>
      <c r="I152" s="4">
        <v>5</v>
      </c>
      <c r="J152" s="33"/>
      <c r="K152" s="33"/>
    </row>
    <row r="153" spans="1:22" s="40" customFormat="1" ht="18.75" customHeight="1" x14ac:dyDescent="0.2">
      <c r="A153" s="40" t="s">
        <v>724</v>
      </c>
      <c r="B153" s="40" t="s">
        <v>725</v>
      </c>
      <c r="C153" s="197" t="s">
        <v>98</v>
      </c>
      <c r="D153" s="4"/>
      <c r="E153" s="4"/>
      <c r="F153" s="4"/>
      <c r="G153" s="4"/>
      <c r="H153" s="4">
        <v>4</v>
      </c>
      <c r="I153" s="4">
        <v>5</v>
      </c>
      <c r="J153" s="116"/>
      <c r="K153" s="116"/>
      <c r="L153" s="116"/>
      <c r="M153" s="116"/>
      <c r="N153" s="116"/>
      <c r="O153" s="116"/>
      <c r="P153" s="116"/>
      <c r="Q153" s="116"/>
      <c r="R153" s="116"/>
      <c r="S153" s="116"/>
      <c r="T153" s="116"/>
      <c r="U153" s="116"/>
      <c r="V153" s="116"/>
    </row>
    <row r="154" spans="1:22" s="34" customFormat="1" ht="18.75" customHeight="1" x14ac:dyDescent="0.2">
      <c r="A154" s="43" t="s">
        <v>726</v>
      </c>
      <c r="B154" s="32" t="s">
        <v>727</v>
      </c>
      <c r="C154" s="197" t="s">
        <v>98</v>
      </c>
      <c r="D154" s="4"/>
      <c r="E154" s="4"/>
      <c r="F154" s="4"/>
      <c r="G154" s="4"/>
      <c r="H154" s="4">
        <v>4</v>
      </c>
      <c r="I154" s="4">
        <v>5</v>
      </c>
      <c r="J154" s="33"/>
      <c r="K154" s="33"/>
    </row>
    <row r="155" spans="1:22" s="40" customFormat="1" ht="18.75" customHeight="1" x14ac:dyDescent="0.2">
      <c r="A155" s="40" t="s">
        <v>728</v>
      </c>
      <c r="B155" s="40" t="s">
        <v>729</v>
      </c>
      <c r="C155" s="197" t="s">
        <v>98</v>
      </c>
      <c r="D155" s="4"/>
      <c r="E155" s="4"/>
      <c r="F155" s="4"/>
      <c r="G155" s="4"/>
      <c r="H155" s="4">
        <v>4</v>
      </c>
      <c r="I155" s="4">
        <v>5</v>
      </c>
      <c r="J155" s="116"/>
      <c r="K155" s="116"/>
      <c r="L155" s="116"/>
      <c r="M155" s="116"/>
      <c r="N155" s="116"/>
      <c r="O155" s="116"/>
      <c r="P155" s="116"/>
      <c r="Q155" s="116"/>
      <c r="R155" s="112" t="s">
        <v>730</v>
      </c>
      <c r="S155" s="116"/>
      <c r="T155" s="116"/>
      <c r="U155" s="116"/>
      <c r="V155" s="116"/>
    </row>
    <row r="156" spans="1:22" s="34" customFormat="1" ht="18.75" customHeight="1" x14ac:dyDescent="0.2">
      <c r="A156" s="43" t="s">
        <v>731</v>
      </c>
      <c r="B156" s="32" t="s">
        <v>732</v>
      </c>
      <c r="C156" s="197" t="s">
        <v>98</v>
      </c>
      <c r="D156" s="4"/>
      <c r="E156" s="4"/>
      <c r="F156" s="4"/>
      <c r="G156" s="4"/>
      <c r="H156" s="4">
        <v>4</v>
      </c>
      <c r="I156" s="4">
        <v>5</v>
      </c>
      <c r="J156" s="33"/>
      <c r="K156" s="33"/>
      <c r="R156" s="112" t="s">
        <v>730</v>
      </c>
    </row>
    <row r="157" spans="1:22" s="40" customFormat="1" ht="18.75" customHeight="1" x14ac:dyDescent="0.2">
      <c r="A157" s="40" t="s">
        <v>733</v>
      </c>
      <c r="B157" s="40" t="s">
        <v>734</v>
      </c>
      <c r="C157" s="197" t="s">
        <v>98</v>
      </c>
      <c r="D157" s="4"/>
      <c r="E157" s="4"/>
      <c r="F157" s="4"/>
      <c r="G157" s="4"/>
      <c r="H157" s="4">
        <v>4</v>
      </c>
      <c r="I157" s="4">
        <v>5</v>
      </c>
      <c r="J157" s="116"/>
      <c r="K157" s="116"/>
      <c r="L157" s="116"/>
      <c r="M157" s="116"/>
      <c r="N157" s="116"/>
      <c r="O157" s="116"/>
      <c r="P157" s="116"/>
      <c r="Q157" s="116"/>
      <c r="R157" s="112" t="s">
        <v>735</v>
      </c>
      <c r="S157" s="116"/>
      <c r="T157" s="116"/>
      <c r="U157" s="116"/>
      <c r="V157" s="116"/>
    </row>
    <row r="158" spans="1:22" s="34" customFormat="1" ht="18.75" customHeight="1" x14ac:dyDescent="0.2">
      <c r="A158" s="43" t="s">
        <v>736</v>
      </c>
      <c r="B158" s="32" t="s">
        <v>737</v>
      </c>
      <c r="C158" s="197" t="s">
        <v>98</v>
      </c>
      <c r="D158" s="4"/>
      <c r="E158" s="4"/>
      <c r="F158" s="4"/>
      <c r="G158" s="4"/>
      <c r="H158" s="4">
        <v>4</v>
      </c>
      <c r="I158" s="4">
        <v>5</v>
      </c>
      <c r="J158" s="33"/>
      <c r="K158" s="33"/>
      <c r="R158" s="112" t="s">
        <v>738</v>
      </c>
    </row>
    <row r="159" spans="1:22" s="40" customFormat="1" ht="18.75" customHeight="1" x14ac:dyDescent="0.2">
      <c r="A159" s="40" t="s">
        <v>739</v>
      </c>
      <c r="B159" s="216" t="s">
        <v>740</v>
      </c>
      <c r="C159" s="197"/>
      <c r="D159" s="4"/>
      <c r="E159" s="4"/>
      <c r="F159" s="4"/>
      <c r="G159" s="4"/>
      <c r="H159" s="4">
        <v>4</v>
      </c>
      <c r="I159" s="4">
        <v>5</v>
      </c>
      <c r="J159" s="116"/>
      <c r="K159" s="116"/>
      <c r="L159" s="116"/>
      <c r="M159" s="116"/>
      <c r="N159" s="116"/>
      <c r="O159" s="116"/>
      <c r="P159" s="116"/>
      <c r="Q159" s="116"/>
      <c r="R159" s="116"/>
      <c r="S159" s="116"/>
      <c r="T159" s="116"/>
      <c r="U159" s="116"/>
      <c r="V159" s="116"/>
    </row>
    <row r="160" spans="1:22" s="34" customFormat="1" ht="18.75" customHeight="1" x14ac:dyDescent="0.2">
      <c r="A160" s="43" t="s">
        <v>741</v>
      </c>
      <c r="B160" s="32" t="s">
        <v>742</v>
      </c>
      <c r="C160" s="197" t="s">
        <v>79</v>
      </c>
      <c r="D160" s="4"/>
      <c r="E160" s="4"/>
      <c r="F160" s="4"/>
      <c r="G160" s="4"/>
      <c r="H160" s="4">
        <v>4</v>
      </c>
      <c r="I160" s="4">
        <v>5</v>
      </c>
      <c r="J160" s="33"/>
      <c r="K160" s="33"/>
    </row>
    <row r="161" spans="1:22" s="40" customFormat="1" ht="18.75" customHeight="1" x14ac:dyDescent="0.2">
      <c r="A161" s="40" t="s">
        <v>715</v>
      </c>
      <c r="B161" s="40" t="s">
        <v>743</v>
      </c>
      <c r="C161" s="197" t="s">
        <v>79</v>
      </c>
      <c r="D161" s="4"/>
      <c r="E161" s="4"/>
      <c r="F161" s="4"/>
      <c r="G161" s="4"/>
      <c r="H161" s="4">
        <v>4</v>
      </c>
      <c r="I161" s="4">
        <v>5</v>
      </c>
      <c r="J161" s="116"/>
      <c r="K161" s="116"/>
      <c r="L161" s="116"/>
      <c r="M161" s="116"/>
      <c r="N161" s="116"/>
      <c r="O161" s="116"/>
      <c r="P161" s="116"/>
      <c r="Q161" s="116"/>
      <c r="R161" s="116"/>
      <c r="S161" s="116"/>
      <c r="T161" s="116"/>
      <c r="U161" s="116"/>
      <c r="V161" s="116"/>
    </row>
    <row r="162" spans="1:22" s="34" customFormat="1" ht="18.75" customHeight="1" x14ac:dyDescent="0.2">
      <c r="A162" s="43" t="s">
        <v>744</v>
      </c>
      <c r="B162" s="32" t="s">
        <v>745</v>
      </c>
      <c r="C162" s="197" t="s">
        <v>98</v>
      </c>
      <c r="D162" s="4"/>
      <c r="E162" s="4"/>
      <c r="F162" s="4"/>
      <c r="G162" s="4"/>
      <c r="H162" s="4">
        <v>4</v>
      </c>
      <c r="I162" s="4">
        <v>5</v>
      </c>
      <c r="J162" s="33"/>
      <c r="K162" s="33"/>
    </row>
    <row r="163" spans="1:22" s="40" customFormat="1" ht="18.75" customHeight="1" x14ac:dyDescent="0.2">
      <c r="A163" s="40" t="s">
        <v>746</v>
      </c>
      <c r="B163" s="40" t="s">
        <v>747</v>
      </c>
      <c r="C163" s="197" t="s">
        <v>364</v>
      </c>
      <c r="D163" s="4"/>
      <c r="E163" s="4"/>
      <c r="F163" s="4"/>
      <c r="G163" s="4"/>
      <c r="H163" s="4">
        <v>4</v>
      </c>
      <c r="I163" s="4">
        <v>5</v>
      </c>
      <c r="J163" s="116"/>
      <c r="K163" s="116"/>
      <c r="L163" s="116"/>
      <c r="M163" s="116"/>
      <c r="N163" s="116"/>
      <c r="O163" s="116"/>
      <c r="P163" s="116"/>
      <c r="Q163" s="116"/>
      <c r="R163" s="116"/>
      <c r="S163" s="116"/>
      <c r="T163" s="116"/>
      <c r="U163" s="116"/>
      <c r="V163" s="116"/>
    </row>
    <row r="164" spans="1:22" s="34" customFormat="1" ht="18.75" customHeight="1" x14ac:dyDescent="0.2">
      <c r="A164" s="43" t="s">
        <v>748</v>
      </c>
      <c r="B164" s="32" t="s">
        <v>749</v>
      </c>
      <c r="C164" s="197" t="s">
        <v>79</v>
      </c>
      <c r="D164" s="4"/>
      <c r="E164" s="4"/>
      <c r="F164" s="4"/>
      <c r="G164" s="4"/>
      <c r="H164" s="4">
        <v>4</v>
      </c>
      <c r="I164" s="4">
        <v>5</v>
      </c>
      <c r="J164" s="33"/>
      <c r="K164" s="33"/>
    </row>
    <row r="165" spans="1:22" s="40" customFormat="1" ht="18.75" customHeight="1" x14ac:dyDescent="0.2">
      <c r="A165" s="40" t="s">
        <v>750</v>
      </c>
      <c r="B165" s="40" t="s">
        <v>751</v>
      </c>
      <c r="C165" s="197" t="s">
        <v>79</v>
      </c>
      <c r="D165" s="4"/>
      <c r="E165" s="4"/>
      <c r="F165" s="4"/>
      <c r="G165" s="4"/>
      <c r="H165" s="4">
        <v>4</v>
      </c>
      <c r="I165" s="4">
        <v>5</v>
      </c>
      <c r="J165" s="116"/>
      <c r="K165" s="116"/>
      <c r="L165" s="116"/>
      <c r="M165" s="116"/>
      <c r="N165" s="116"/>
      <c r="O165" s="116"/>
      <c r="P165" s="116"/>
      <c r="Q165" s="116"/>
      <c r="R165" s="116"/>
      <c r="S165" s="116"/>
      <c r="T165" s="116"/>
      <c r="U165" s="116"/>
      <c r="V165" s="116"/>
    </row>
    <row r="166" spans="1:22" s="7" customFormat="1" ht="15" hidden="1" customHeight="1" x14ac:dyDescent="0.2">
      <c r="A166" s="43" t="s">
        <v>752</v>
      </c>
      <c r="B166" s="32" t="s">
        <v>753</v>
      </c>
      <c r="C166" s="197"/>
      <c r="D166" s="4"/>
      <c r="E166" s="7" t="str">
        <f>E3</f>
        <v>Recommended</v>
      </c>
      <c r="F166" s="7" t="str">
        <f>F3</f>
        <v>Maximum</v>
      </c>
      <c r="G166" s="7" t="str">
        <f>G3</f>
        <v>Peer</v>
      </c>
      <c r="H166" s="7" t="str">
        <f>H3</f>
        <v>Recommended</v>
      </c>
      <c r="I166" s="7" t="str">
        <f>I3</f>
        <v>Maximum</v>
      </c>
      <c r="J166" s="17"/>
      <c r="K166" s="16"/>
    </row>
    <row r="167" spans="1:22" ht="15" hidden="1" customHeight="1" x14ac:dyDescent="0.2">
      <c r="A167" s="40" t="s">
        <v>754</v>
      </c>
      <c r="B167" s="40" t="s">
        <v>755</v>
      </c>
      <c r="C167" s="197"/>
      <c r="D167" s="4"/>
      <c r="E167" s="20">
        <f>SUM(E5:E47)</f>
        <v>0</v>
      </c>
      <c r="F167" s="20">
        <f>SUM(F5:F47)</f>
        <v>0</v>
      </c>
      <c r="G167" s="20">
        <f>SUM(G5:G47)</f>
        <v>0</v>
      </c>
      <c r="H167" s="20">
        <f>SUM(H5:H47)</f>
        <v>172</v>
      </c>
      <c r="I167" s="20">
        <f>SUM(I5:I47)</f>
        <v>215</v>
      </c>
    </row>
    <row r="168" spans="1:22" ht="15" hidden="1" customHeight="1" x14ac:dyDescent="0.2">
      <c r="A168" s="43" t="s">
        <v>756</v>
      </c>
      <c r="B168" s="32" t="s">
        <v>757</v>
      </c>
      <c r="C168" s="197"/>
      <c r="D168" s="4"/>
      <c r="E168" s="20">
        <f>SUM(E49:E71)</f>
        <v>0</v>
      </c>
      <c r="F168" s="20">
        <f>SUM(F49:F71)</f>
        <v>0</v>
      </c>
      <c r="G168" s="20">
        <f>SUM(G49:G71)</f>
        <v>0</v>
      </c>
      <c r="H168" s="20">
        <f>SUM(H49:H71)</f>
        <v>91</v>
      </c>
      <c r="I168" s="20">
        <f>SUM(I49:I71)</f>
        <v>115</v>
      </c>
    </row>
    <row r="169" spans="1:22" ht="15" hidden="1" customHeight="1" x14ac:dyDescent="0.2">
      <c r="A169" s="40" t="s">
        <v>758</v>
      </c>
      <c r="B169" s="40" t="s">
        <v>759</v>
      </c>
      <c r="C169" s="197"/>
      <c r="D169" s="4"/>
      <c r="E169" s="20">
        <f>SUM(E73:E84)</f>
        <v>0</v>
      </c>
      <c r="F169" s="20">
        <f>SUM(F73:F84)</f>
        <v>0</v>
      </c>
      <c r="G169" s="20">
        <f>SUM(G73:G84)</f>
        <v>0</v>
      </c>
      <c r="H169" s="20">
        <f>SUM(H73:H84)</f>
        <v>48</v>
      </c>
      <c r="I169" s="20">
        <f>SUM(I73:I84)</f>
        <v>60</v>
      </c>
    </row>
    <row r="170" spans="1:22" ht="15" hidden="1" customHeight="1" x14ac:dyDescent="0.2">
      <c r="A170" s="43" t="s">
        <v>760</v>
      </c>
      <c r="B170" s="32" t="s">
        <v>761</v>
      </c>
      <c r="C170" s="197"/>
      <c r="D170" s="4"/>
      <c r="E170" s="20">
        <f>SUM(E86:E125)</f>
        <v>0</v>
      </c>
      <c r="F170" s="20">
        <f>SUM(F86:F125)</f>
        <v>0</v>
      </c>
      <c r="G170" s="20">
        <f>SUM(G86:G125)</f>
        <v>0</v>
      </c>
      <c r="H170" s="20">
        <f>SUM(H86:H125)</f>
        <v>160</v>
      </c>
      <c r="I170" s="20">
        <f>SUM(I86:I125)</f>
        <v>200</v>
      </c>
    </row>
    <row r="171" spans="1:22" ht="15" hidden="1" customHeight="1" x14ac:dyDescent="0.2">
      <c r="A171" s="40" t="s">
        <v>762</v>
      </c>
      <c r="B171" s="40" t="s">
        <v>763</v>
      </c>
      <c r="C171" s="197"/>
      <c r="D171" s="4"/>
      <c r="E171" s="20">
        <f>SUM(E130:E137)</f>
        <v>0</v>
      </c>
      <c r="F171" s="20">
        <f>SUM(F130:F137)</f>
        <v>0</v>
      </c>
      <c r="G171" s="20">
        <f>SUM(G130:G137)</f>
        <v>0</v>
      </c>
      <c r="H171" s="20">
        <f>SUM(H130:H137)</f>
        <v>32</v>
      </c>
      <c r="I171" s="20">
        <f>SUM(I130:I137)</f>
        <v>40</v>
      </c>
    </row>
    <row r="172" spans="1:22" hidden="1" x14ac:dyDescent="0.2">
      <c r="A172" s="43" t="s">
        <v>764</v>
      </c>
      <c r="B172" s="32" t="s">
        <v>765</v>
      </c>
      <c r="C172" s="197"/>
      <c r="D172" s="4"/>
      <c r="E172" s="20">
        <f>SUM(E139:E165)</f>
        <v>0</v>
      </c>
      <c r="F172" s="20">
        <f>SUM(F139:F165)</f>
        <v>0</v>
      </c>
      <c r="G172" s="20">
        <f>SUM(G139:G165)</f>
        <v>0</v>
      </c>
      <c r="H172" s="20">
        <f>SUM(H139:H165)</f>
        <v>104</v>
      </c>
      <c r="I172" s="20">
        <f>SUM(I139:I165)</f>
        <v>130</v>
      </c>
    </row>
    <row r="173" spans="1:22" s="45" customFormat="1" ht="15" hidden="1" customHeight="1" thickBot="1" x14ac:dyDescent="0.25">
      <c r="A173" s="40" t="s">
        <v>766</v>
      </c>
      <c r="B173" s="40" t="s">
        <v>767</v>
      </c>
      <c r="C173" s="197"/>
      <c r="D173" s="4"/>
      <c r="E173" s="47">
        <f t="shared" ref="D173:I183" si="0">SUM(E167:E172)</f>
        <v>0</v>
      </c>
      <c r="F173" s="47">
        <f t="shared" si="0"/>
        <v>0</v>
      </c>
      <c r="G173" s="47">
        <f t="shared" si="0"/>
        <v>0</v>
      </c>
      <c r="H173" s="47">
        <f t="shared" si="0"/>
        <v>607</v>
      </c>
      <c r="I173" s="47">
        <f t="shared" si="0"/>
        <v>760</v>
      </c>
      <c r="J173" s="48"/>
      <c r="K173" s="49"/>
    </row>
    <row r="174" spans="1:22" hidden="1" x14ac:dyDescent="0.2">
      <c r="A174" s="43" t="s">
        <v>768</v>
      </c>
      <c r="B174" s="32" t="s">
        <v>769</v>
      </c>
      <c r="C174" s="197"/>
      <c r="D174" s="4"/>
    </row>
    <row r="175" spans="1:22" hidden="1" x14ac:dyDescent="0.2">
      <c r="A175" s="40" t="s">
        <v>770</v>
      </c>
      <c r="B175" s="40" t="s">
        <v>771</v>
      </c>
      <c r="C175" s="197"/>
      <c r="D175" s="4"/>
    </row>
    <row r="176" spans="1:22" s="7" customFormat="1" ht="15" hidden="1" customHeight="1" x14ac:dyDescent="0.2">
      <c r="A176" s="177"/>
      <c r="B176" s="177" t="s">
        <v>165</v>
      </c>
      <c r="C176" s="7" t="str">
        <f>C3</f>
        <v>Current</v>
      </c>
      <c r="D176" s="7" t="str">
        <f>D3</f>
        <v>Peer</v>
      </c>
      <c r="E176" s="7" t="str">
        <f t="shared" ref="D176:H186" si="1">E166</f>
        <v>Recommended</v>
      </c>
      <c r="F176" s="7" t="str">
        <f t="shared" si="1"/>
        <v>Maximum</v>
      </c>
      <c r="G176" s="7" t="str">
        <f t="shared" si="1"/>
        <v>Peer</v>
      </c>
      <c r="H176" s="7" t="str">
        <f t="shared" si="1"/>
        <v>Recommended</v>
      </c>
      <c r="J176" s="17"/>
      <c r="K176" s="16"/>
    </row>
    <row r="177" spans="1:22" ht="15" hidden="1" customHeight="1" x14ac:dyDescent="0.2">
      <c r="B177" s="32" t="str">
        <f>A4</f>
        <v>3.1 - SOC Threat Management</v>
      </c>
      <c r="C177" s="20">
        <f>SUM(C5:C47)</f>
        <v>0</v>
      </c>
      <c r="D177" s="20">
        <f>SUM(D5:D47)</f>
        <v>0</v>
      </c>
      <c r="E177" s="21">
        <f t="shared" ref="D177:H187" si="2">E167/$I$167</f>
        <v>0</v>
      </c>
      <c r="F177" s="21">
        <f t="shared" si="2"/>
        <v>0</v>
      </c>
      <c r="G177" s="21">
        <f t="shared" si="2"/>
        <v>0</v>
      </c>
      <c r="H177" s="21">
        <f t="shared" si="2"/>
        <v>0.8</v>
      </c>
      <c r="I177" s="14"/>
    </row>
    <row r="178" spans="1:22" ht="15" hidden="1" customHeight="1" x14ac:dyDescent="0.2">
      <c r="B178" s="32" t="str">
        <f>A48</f>
        <v>3.2 - SOC Analytical Process</v>
      </c>
      <c r="C178" s="20">
        <f>SUM(C49:C71)</f>
        <v>0</v>
      </c>
      <c r="D178" s="20">
        <f>SUM(D49:D71)</f>
        <v>0</v>
      </c>
      <c r="E178" s="21">
        <f t="shared" ref="E178:H178" si="3">E168/$I168</f>
        <v>0</v>
      </c>
      <c r="F178" s="21">
        <f t="shared" si="3"/>
        <v>0</v>
      </c>
      <c r="G178" s="21">
        <f t="shared" si="3"/>
        <v>0</v>
      </c>
      <c r="H178" s="21">
        <f t="shared" si="3"/>
        <v>0.79130434782608694</v>
      </c>
      <c r="I178" s="14"/>
    </row>
    <row r="179" spans="1:22" ht="15" hidden="1" customHeight="1" x14ac:dyDescent="0.2">
      <c r="B179" s="32" t="str">
        <f>A72</f>
        <v>3.3 - SOC Engineering Processes</v>
      </c>
      <c r="C179" s="20">
        <f>SUM(C73:C84)</f>
        <v>0</v>
      </c>
      <c r="D179" s="20">
        <f>SUM(D73:D84)</f>
        <v>0</v>
      </c>
      <c r="E179" s="21">
        <f t="shared" ref="E179:H179" si="4">E169/$I169</f>
        <v>0</v>
      </c>
      <c r="F179" s="21">
        <f t="shared" si="4"/>
        <v>0</v>
      </c>
      <c r="G179" s="21">
        <f t="shared" si="4"/>
        <v>0</v>
      </c>
      <c r="H179" s="21">
        <f t="shared" si="4"/>
        <v>0.8</v>
      </c>
      <c r="I179" s="14"/>
    </row>
    <row r="180" spans="1:22" ht="15" hidden="1" customHeight="1" x14ac:dyDescent="0.2">
      <c r="B180" s="32" t="str">
        <f>A85</f>
        <v>3.4 - SOC Operations and Continuity</v>
      </c>
      <c r="C180" s="20">
        <f>SUM(C86:C125)</f>
        <v>0</v>
      </c>
      <c r="D180" s="20">
        <f>SUM(D86:D125)</f>
        <v>0</v>
      </c>
      <c r="E180" s="21">
        <f t="shared" ref="E180:H180" si="5">E170/$I170</f>
        <v>0</v>
      </c>
      <c r="F180" s="21">
        <f t="shared" si="5"/>
        <v>0</v>
      </c>
      <c r="G180" s="21">
        <f t="shared" si="5"/>
        <v>0</v>
      </c>
      <c r="H180" s="21">
        <f t="shared" si="5"/>
        <v>0.8</v>
      </c>
      <c r="I180" s="14"/>
    </row>
    <row r="181" spans="1:22" ht="15" hidden="1" customHeight="1" x14ac:dyDescent="0.2">
      <c r="B181" s="32" t="str">
        <f>A136</f>
        <v>3.5 - SOC Incident Coordination</v>
      </c>
      <c r="C181" s="20">
        <f>SUM(C137:C147)</f>
        <v>0</v>
      </c>
      <c r="D181" s="20">
        <f t="shared" ref="D181" si="6">SUM(D137:D147)</f>
        <v>0</v>
      </c>
      <c r="E181" s="21">
        <f t="shared" ref="E181:H181" si="7">E171/$I171</f>
        <v>0</v>
      </c>
      <c r="F181" s="21">
        <f t="shared" si="7"/>
        <v>0</v>
      </c>
      <c r="G181" s="21">
        <f t="shared" si="7"/>
        <v>0</v>
      </c>
      <c r="H181" s="21">
        <f t="shared" si="7"/>
        <v>0.8</v>
      </c>
      <c r="I181" s="14"/>
    </row>
    <row r="182" spans="1:22" hidden="1" x14ac:dyDescent="0.2">
      <c r="B182" s="32" t="str">
        <f>A149</f>
        <v>3.6 - SOC Portfolio Management</v>
      </c>
      <c r="C182" s="20">
        <f>SUM(C150:C175)</f>
        <v>0</v>
      </c>
      <c r="D182" s="20">
        <f t="shared" ref="D182" si="8">SUM(D150:D175)</f>
        <v>0</v>
      </c>
      <c r="E182" s="21">
        <f t="shared" ref="E182:H183" si="9">E172/$I172</f>
        <v>0</v>
      </c>
      <c r="F182" s="21">
        <f t="shared" si="9"/>
        <v>0</v>
      </c>
      <c r="G182" s="21">
        <f t="shared" si="9"/>
        <v>0</v>
      </c>
      <c r="H182" s="21">
        <f t="shared" si="9"/>
        <v>0.8</v>
      </c>
      <c r="I182" s="14"/>
    </row>
    <row r="183" spans="1:22" s="45" customFormat="1" ht="15" hidden="1" customHeight="1" thickBot="1" x14ac:dyDescent="0.25">
      <c r="A183" s="178"/>
      <c r="B183" s="179" t="s">
        <v>166</v>
      </c>
      <c r="C183" s="47">
        <f>SUM(C177:C182)</f>
        <v>0</v>
      </c>
      <c r="D183" s="47">
        <f t="shared" si="0"/>
        <v>0</v>
      </c>
      <c r="E183" s="51">
        <f t="shared" si="9"/>
        <v>0</v>
      </c>
      <c r="F183" s="51">
        <f t="shared" si="9"/>
        <v>0</v>
      </c>
      <c r="G183" s="51">
        <f>G173/$I173</f>
        <v>0</v>
      </c>
      <c r="H183" s="51">
        <f t="shared" si="9"/>
        <v>0.79868421052631577</v>
      </c>
      <c r="I183" s="52"/>
      <c r="J183" s="48"/>
      <c r="K183" s="49"/>
    </row>
    <row r="184" spans="1:22" hidden="1" x14ac:dyDescent="0.2"/>
    <row r="185" spans="1:22" hidden="1" x14ac:dyDescent="0.2"/>
    <row r="186" spans="1:22" s="28" customFormat="1" ht="18" customHeight="1" x14ac:dyDescent="0.2">
      <c r="A186" s="177"/>
      <c r="B186" s="177" t="s">
        <v>167</v>
      </c>
      <c r="C186" s="7" t="str">
        <f>C176</f>
        <v>Current</v>
      </c>
      <c r="D186" s="7" t="str">
        <f t="shared" si="1"/>
        <v>Peer</v>
      </c>
      <c r="E186" s="29"/>
      <c r="F186" s="29"/>
      <c r="G186" s="29"/>
      <c r="H186" s="29"/>
      <c r="I186" s="29"/>
      <c r="J186" s="29"/>
      <c r="K186" s="29"/>
      <c r="L186" s="29"/>
      <c r="M186" s="29"/>
      <c r="N186" s="29"/>
      <c r="O186" s="29"/>
      <c r="P186" s="29"/>
      <c r="Q186" s="29"/>
      <c r="R186" s="29"/>
      <c r="S186" s="29"/>
      <c r="T186" s="29"/>
      <c r="U186" s="29"/>
      <c r="V186" s="29"/>
    </row>
    <row r="187" spans="1:22" ht="17.25" customHeight="1" x14ac:dyDescent="0.2">
      <c r="B187" s="32" t="str">
        <f>B177</f>
        <v>3.1 - SOC Threat Management</v>
      </c>
      <c r="C187" s="21">
        <f>C177/$I$167</f>
        <v>0</v>
      </c>
      <c r="D187" s="21">
        <f t="shared" si="2"/>
        <v>0</v>
      </c>
      <c r="E187" s="4"/>
      <c r="F187" s="4"/>
      <c r="G187" s="4"/>
      <c r="H187" s="4"/>
    </row>
    <row r="188" spans="1:22" ht="17.25" customHeight="1" x14ac:dyDescent="0.2">
      <c r="B188" s="32" t="str">
        <f t="shared" ref="B188:B192" si="10">B178</f>
        <v>3.2 - SOC Analytical Process</v>
      </c>
      <c r="C188" s="21">
        <f t="shared" ref="C188:D193" si="11">C178/$I168</f>
        <v>0</v>
      </c>
      <c r="D188" s="21">
        <f t="shared" si="11"/>
        <v>0</v>
      </c>
      <c r="E188" s="4"/>
      <c r="F188" s="4"/>
      <c r="G188" s="4"/>
      <c r="H188" s="4"/>
    </row>
    <row r="189" spans="1:22" ht="17.25" customHeight="1" x14ac:dyDescent="0.2">
      <c r="B189" s="32" t="str">
        <f t="shared" si="10"/>
        <v>3.3 - SOC Engineering Processes</v>
      </c>
      <c r="C189" s="21">
        <f t="shared" si="11"/>
        <v>0</v>
      </c>
      <c r="D189" s="21">
        <f t="shared" si="11"/>
        <v>0</v>
      </c>
      <c r="E189" s="4"/>
      <c r="F189" s="4"/>
      <c r="G189" s="4"/>
      <c r="H189" s="4"/>
    </row>
    <row r="190" spans="1:22" ht="17.25" customHeight="1" x14ac:dyDescent="0.2">
      <c r="B190" s="32" t="str">
        <f t="shared" si="10"/>
        <v>3.4 - SOC Operations and Continuity</v>
      </c>
      <c r="C190" s="21">
        <f t="shared" si="11"/>
        <v>0</v>
      </c>
      <c r="D190" s="21">
        <f t="shared" si="11"/>
        <v>0</v>
      </c>
      <c r="E190" s="4"/>
      <c r="F190" s="4"/>
      <c r="G190" s="4"/>
      <c r="H190" s="4"/>
    </row>
    <row r="191" spans="1:22" x14ac:dyDescent="0.2">
      <c r="B191" s="32" t="str">
        <f t="shared" si="10"/>
        <v>3.5 - SOC Incident Coordination</v>
      </c>
      <c r="C191" s="21">
        <f t="shared" si="11"/>
        <v>0</v>
      </c>
      <c r="D191" s="21">
        <f t="shared" si="11"/>
        <v>0</v>
      </c>
      <c r="E191" s="4"/>
      <c r="F191" s="4"/>
      <c r="G191" s="4"/>
      <c r="H191" s="4"/>
    </row>
    <row r="192" spans="1:22" ht="16" thickBot="1" x14ac:dyDescent="0.25">
      <c r="B192" s="32" t="str">
        <f t="shared" si="10"/>
        <v>3.6 - SOC Portfolio Management</v>
      </c>
      <c r="C192" s="21">
        <f t="shared" si="11"/>
        <v>0</v>
      </c>
      <c r="D192" s="21">
        <f t="shared" si="11"/>
        <v>0</v>
      </c>
      <c r="E192" s="4"/>
      <c r="F192" s="4"/>
      <c r="G192" s="4"/>
      <c r="H192" s="4"/>
    </row>
    <row r="193" spans="1:4" ht="16" thickBot="1" x14ac:dyDescent="0.25">
      <c r="A193" s="178"/>
      <c r="B193" s="181" t="s">
        <v>166</v>
      </c>
      <c r="C193" s="51">
        <f t="shared" si="11"/>
        <v>0</v>
      </c>
      <c r="D193" s="51">
        <f t="shared" si="11"/>
        <v>0</v>
      </c>
    </row>
    <row r="196" spans="1:4" x14ac:dyDescent="0.2">
      <c r="A196" s="28" t="s">
        <v>772</v>
      </c>
      <c r="B196" s="28"/>
      <c r="C196" s="29"/>
      <c r="D196" s="29"/>
    </row>
    <row r="197" spans="1:4" x14ac:dyDescent="0.2">
      <c r="A197" s="43" t="s">
        <v>773</v>
      </c>
      <c r="B197" s="40" t="s">
        <v>774</v>
      </c>
      <c r="C197" s="197"/>
      <c r="D197" s="4"/>
    </row>
    <row r="198" spans="1:4" x14ac:dyDescent="0.2">
      <c r="A198" s="43" t="s">
        <v>775</v>
      </c>
      <c r="B198" s="40" t="s">
        <v>776</v>
      </c>
      <c r="C198" s="197"/>
      <c r="D198" s="4"/>
    </row>
    <row r="199" spans="1:4" x14ac:dyDescent="0.2">
      <c r="A199" s="43" t="s">
        <v>777</v>
      </c>
      <c r="B199" s="40" t="s">
        <v>778</v>
      </c>
      <c r="C199" s="197"/>
      <c r="D199" s="4"/>
    </row>
    <row r="200" spans="1:4" x14ac:dyDescent="0.2">
      <c r="A200" s="43" t="s">
        <v>779</v>
      </c>
      <c r="B200" s="40" t="s">
        <v>780</v>
      </c>
      <c r="C200" s="197"/>
      <c r="D200" s="4"/>
    </row>
    <row r="201" spans="1:4" x14ac:dyDescent="0.2">
      <c r="A201" s="43" t="s">
        <v>781</v>
      </c>
      <c r="B201" s="40" t="s">
        <v>782</v>
      </c>
      <c r="C201" s="197"/>
      <c r="D201" s="4"/>
    </row>
    <row r="202" spans="1:4" x14ac:dyDescent="0.2">
      <c r="A202" s="43" t="s">
        <v>783</v>
      </c>
      <c r="B202" s="40" t="s">
        <v>784</v>
      </c>
      <c r="C202" s="197"/>
      <c r="D202" s="4"/>
    </row>
    <row r="203" spans="1:4" ht="24" x14ac:dyDescent="0.2">
      <c r="A203" s="201" t="s">
        <v>785</v>
      </c>
      <c r="B203" s="216" t="s">
        <v>786</v>
      </c>
    </row>
    <row r="204" spans="1:4" x14ac:dyDescent="0.2">
      <c r="A204" s="201" t="s">
        <v>787</v>
      </c>
      <c r="B204" s="216" t="s">
        <v>788</v>
      </c>
    </row>
  </sheetData>
  <sheetProtection formatCells="0" formatColumns="0" formatRows="0" insertColumns="0" insertRows="0" insertHyperlinks="0" deleteColumns="0" deleteRows="0" selectLockedCells="1" sort="0" autoFilter="0" pivotTables="0"/>
  <phoneticPr fontId="7" type="noConversion"/>
  <conditionalFormatting sqref="C5:C47 C86:C135">
    <cfRule type="cellIs" dxfId="260" priority="42" operator="equal">
      <formula>"Level 0 - Does not exist"</formula>
    </cfRule>
    <cfRule type="cellIs" dxfId="259" priority="41" operator="equal">
      <formula>"Level 1 - Initial"</formula>
    </cfRule>
    <cfRule type="cellIs" dxfId="258" priority="40" operator="equal">
      <formula>"Level 2 - Repeatable"</formula>
    </cfRule>
    <cfRule type="cellIs" dxfId="257" priority="39" operator="equal">
      <formula>"Level 3 - Defined"</formula>
    </cfRule>
    <cfRule type="cellIs" dxfId="256" priority="38" operator="equal">
      <formula>"Level 4 - Managed"</formula>
    </cfRule>
    <cfRule type="cellIs" dxfId="255" priority="37" operator="equal">
      <formula>"Level 5 - Optimized"</formula>
    </cfRule>
  </conditionalFormatting>
  <conditionalFormatting sqref="C49:C71">
    <cfRule type="cellIs" dxfId="254" priority="36" operator="equal">
      <formula>"Level 0 - Does not exist"</formula>
    </cfRule>
    <cfRule type="cellIs" dxfId="253" priority="35" operator="equal">
      <formula>"Level 1 - Initial"</formula>
    </cfRule>
    <cfRule type="cellIs" dxfId="252" priority="34" operator="equal">
      <formula>"Level 2 - Repeatable"</formula>
    </cfRule>
    <cfRule type="cellIs" dxfId="251" priority="33" operator="equal">
      <formula>"Level 3 - Defined"</formula>
    </cfRule>
    <cfRule type="cellIs" dxfId="250" priority="32" operator="equal">
      <formula>"Level 4 - Managed"</formula>
    </cfRule>
    <cfRule type="cellIs" dxfId="249" priority="31" operator="equal">
      <formula>"Level 5 - Optimized"</formula>
    </cfRule>
  </conditionalFormatting>
  <conditionalFormatting sqref="C73:C84">
    <cfRule type="cellIs" dxfId="248" priority="25" operator="equal">
      <formula>"Level 5 - Optimized"</formula>
    </cfRule>
    <cfRule type="cellIs" dxfId="247" priority="26" operator="equal">
      <formula>"Level 4 - Managed"</formula>
    </cfRule>
    <cfRule type="cellIs" dxfId="246" priority="27" operator="equal">
      <formula>"Level 3 - Defined"</formula>
    </cfRule>
    <cfRule type="cellIs" dxfId="245" priority="28" operator="equal">
      <formula>"Level 2 - Repeatable"</formula>
    </cfRule>
    <cfRule type="cellIs" dxfId="244" priority="29" operator="equal">
      <formula>"Level 1 - Initial"</formula>
    </cfRule>
    <cfRule type="cellIs" dxfId="243" priority="30" operator="equal">
      <formula>"Level 0 - Does not exist"</formula>
    </cfRule>
  </conditionalFormatting>
  <conditionalFormatting sqref="C137:C148">
    <cfRule type="cellIs" dxfId="242" priority="15" operator="equal">
      <formula>"Level 3 - Defined"</formula>
    </cfRule>
    <cfRule type="cellIs" dxfId="241" priority="16" operator="equal">
      <formula>"Level 2 - Repeatable"</formula>
    </cfRule>
    <cfRule type="cellIs" dxfId="240" priority="17" operator="equal">
      <formula>"Level 1 - Initial"</formula>
    </cfRule>
    <cfRule type="cellIs" dxfId="239" priority="18" operator="equal">
      <formula>"Level 0 - Does not exist"</formula>
    </cfRule>
    <cfRule type="cellIs" dxfId="238" priority="14" operator="equal">
      <formula>"Level 4 - Managed"</formula>
    </cfRule>
    <cfRule type="cellIs" dxfId="237" priority="13" operator="equal">
      <formula>"Level 5 - Optimized"</formula>
    </cfRule>
  </conditionalFormatting>
  <conditionalFormatting sqref="C150:C175">
    <cfRule type="cellIs" dxfId="236" priority="12" operator="equal">
      <formula>"Level 0 - Does not exist"</formula>
    </cfRule>
    <cfRule type="cellIs" dxfId="235" priority="11" operator="equal">
      <formula>"Level 1 - Initial"</formula>
    </cfRule>
    <cfRule type="cellIs" dxfId="234" priority="10" operator="equal">
      <formula>"Level 2 - Repeatable"</formula>
    </cfRule>
    <cfRule type="cellIs" dxfId="233" priority="9" operator="equal">
      <formula>"Level 3 - Defined"</formula>
    </cfRule>
    <cfRule type="cellIs" dxfId="232" priority="8" operator="equal">
      <formula>"Level 4 - Managed"</formula>
    </cfRule>
    <cfRule type="cellIs" dxfId="231" priority="7" operator="equal">
      <formula>"Level 5 - Optimized"</formula>
    </cfRule>
  </conditionalFormatting>
  <conditionalFormatting sqref="C197:C202">
    <cfRule type="cellIs" dxfId="230" priority="6" operator="equal">
      <formula>"Level 0 - Does not exist"</formula>
    </cfRule>
    <cfRule type="cellIs" dxfId="229" priority="5" operator="equal">
      <formula>"Level 1 - Initial"</formula>
    </cfRule>
    <cfRule type="cellIs" dxfId="228" priority="4" operator="equal">
      <formula>"Level 2 - Repeatable"</formula>
    </cfRule>
    <cfRule type="cellIs" dxfId="227" priority="3" operator="equal">
      <formula>"Level 3 - Defined"</formula>
    </cfRule>
    <cfRule type="cellIs" dxfId="226" priority="2" operator="equal">
      <formula>"Level 4 - Managed"</formula>
    </cfRule>
    <cfRule type="cellIs" dxfId="225" priority="1" operator="equal">
      <formula>"Level 5 - Optimized"</formula>
    </cfRule>
  </conditionalFormatting>
  <conditionalFormatting sqref="D5:I47 D49:I49 D50:G71 D86:G125 E126:G128 D126:D135 E130:I137 D137:D175 E138:F138 E187:H192 D197:D202">
    <cfRule type="cellIs" dxfId="224" priority="174" operator="equal">
      <formula>0</formula>
    </cfRule>
    <cfRule type="cellIs" dxfId="223" priority="169" operator="equal">
      <formula>5</formula>
    </cfRule>
    <cfRule type="cellIs" dxfId="222" priority="173" operator="equal">
      <formula>1</formula>
    </cfRule>
    <cfRule type="cellIs" dxfId="221" priority="172" operator="equal">
      <formula>2</formula>
    </cfRule>
    <cfRule type="cellIs" dxfId="220" priority="171" operator="equal">
      <formula>3</formula>
    </cfRule>
    <cfRule type="cellIs" dxfId="219" priority="170" operator="equal">
      <formula>4</formula>
    </cfRule>
  </conditionalFormatting>
  <conditionalFormatting sqref="D73:I84">
    <cfRule type="cellIs" dxfId="218" priority="67" operator="equal">
      <formula>5</formula>
    </cfRule>
    <cfRule type="cellIs" dxfId="217" priority="68" operator="equal">
      <formula>4</formula>
    </cfRule>
    <cfRule type="cellIs" dxfId="216" priority="69" operator="equal">
      <formula>3</formula>
    </cfRule>
    <cfRule type="cellIs" dxfId="215" priority="70" operator="equal">
      <formula>2</formula>
    </cfRule>
    <cfRule type="cellIs" dxfId="214" priority="71" operator="equal">
      <formula>1</formula>
    </cfRule>
    <cfRule type="cellIs" dxfId="213" priority="72" operator="equal">
      <formula>0</formula>
    </cfRule>
  </conditionalFormatting>
  <conditionalFormatting sqref="E139:I165">
    <cfRule type="cellIs" dxfId="212" priority="93" operator="equal">
      <formula>3</formula>
    </cfRule>
    <cfRule type="cellIs" dxfId="211" priority="94" operator="equal">
      <formula>2</formula>
    </cfRule>
    <cfRule type="cellIs" dxfId="210" priority="95" operator="equal">
      <formula>1</formula>
    </cfRule>
    <cfRule type="cellIs" dxfId="209" priority="96" operator="equal">
      <formula>0</formula>
    </cfRule>
    <cfRule type="cellIs" dxfId="208" priority="91" operator="equal">
      <formula>5</formula>
    </cfRule>
    <cfRule type="cellIs" dxfId="207" priority="92" operator="equal">
      <formula>4</formula>
    </cfRule>
  </conditionalFormatting>
  <conditionalFormatting sqref="H50:I70 H55:H71">
    <cfRule type="cellIs" dxfId="206" priority="109" operator="equal">
      <formula>2</formula>
    </cfRule>
    <cfRule type="cellIs" dxfId="205" priority="108" operator="equal">
      <formula>3</formula>
    </cfRule>
    <cfRule type="cellIs" dxfId="204" priority="110" operator="equal">
      <formula>1</formula>
    </cfRule>
    <cfRule type="cellIs" dxfId="203" priority="111" operator="equal">
      <formula>0</formula>
    </cfRule>
    <cfRule type="cellIs" dxfId="202" priority="107" operator="equal">
      <formula>4</formula>
    </cfRule>
    <cfRule type="cellIs" dxfId="201" priority="106" operator="equal">
      <formula>5</formula>
    </cfRule>
  </conditionalFormatting>
  <conditionalFormatting sqref="H86:I128">
    <cfRule type="cellIs" dxfId="200" priority="113" operator="equal">
      <formula>5</formula>
    </cfRule>
    <cfRule type="cellIs" dxfId="199" priority="114" operator="equal">
      <formula>4</formula>
    </cfRule>
    <cfRule type="cellIs" dxfId="198" priority="115" operator="equal">
      <formula>3</formula>
    </cfRule>
    <cfRule type="cellIs" dxfId="197" priority="116" operator="equal">
      <formula>2</formula>
    </cfRule>
    <cfRule type="cellIs" dxfId="196" priority="117" operator="equal">
      <formula>1</formula>
    </cfRule>
    <cfRule type="cellIs" dxfId="195" priority="118" operator="equal">
      <formula>0</formula>
    </cfRule>
  </conditionalFormatting>
  <conditionalFormatting sqref="I71">
    <cfRule type="cellIs" dxfId="194" priority="90" operator="equal">
      <formula>0</formula>
    </cfRule>
    <cfRule type="cellIs" dxfId="193" priority="88" operator="equal">
      <formula>2</formula>
    </cfRule>
    <cfRule type="cellIs" dxfId="192" priority="87" operator="equal">
      <formula>3</formula>
    </cfRule>
    <cfRule type="cellIs" dxfId="191" priority="86" operator="equal">
      <formula>4</formula>
    </cfRule>
    <cfRule type="cellIs" dxfId="190" priority="85" operator="equal">
      <formula>5</formula>
    </cfRule>
    <cfRule type="cellIs" dxfId="189" priority="89" operator="equal">
      <formula>1</formula>
    </cfRule>
  </conditionalFormatting>
  <pageMargins left="0.7" right="0.7" top="0.75" bottom="0.75" header="0.3" footer="0.3"/>
  <pageSetup scale="89" fitToHeight="0" orientation="portrait" horizontalDpi="300" verticalDpi="300"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900-000000000000}">
          <x14:formula1>
            <xm:f>'CoBIT maturity key'!$B$4:$B$9</xm:f>
          </x14:formula1>
          <xm:sqref>C149 C85 C72 C48 D5:H125 D126:D175 E126:H165</xm:sqref>
        </x14:dataValidation>
        <x14:dataValidation type="list" allowBlank="1" showInputMessage="1" showErrorMessage="1" xr:uid="{00000000-0002-0000-0900-000001000000}">
          <x14:formula1>
            <xm:f>'CoBIT maturity key'!$A$4:$A$9</xm:f>
          </x14:formula1>
          <xm:sqref>C49:C71 C73:C84 C150:C175 C197:C202 C86:C148 C5:C47</xm:sqref>
        </x14:dataValidation>
      </x14:dataValidations>
    </ext>
    <ext xmlns:mx="http://schemas.microsoft.com/office/mac/excel/2008/main" uri="{64002731-A6B0-56B0-2670-7721B7C09600}">
      <mx:PLV Mode="0" OnePage="0" WScale="0"/>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FFFF00"/>
    <pageSetUpPr fitToPage="1"/>
  </sheetPr>
  <dimension ref="A1:K236"/>
  <sheetViews>
    <sheetView zoomScale="85" zoomScaleNormal="85" zoomScalePageLayoutView="125" workbookViewId="0">
      <pane ySplit="3" topLeftCell="A4" activePane="bottomLeft" state="frozen"/>
      <selection pane="bottomLeft" activeCell="G221" sqref="G221"/>
    </sheetView>
  </sheetViews>
  <sheetFormatPr baseColWidth="10" defaultColWidth="8.83203125" defaultRowHeight="15" x14ac:dyDescent="0.2"/>
  <cols>
    <col min="1" max="1" width="6.83203125" style="185" customWidth="1"/>
    <col min="2" max="2" width="103.1640625" style="186" customWidth="1"/>
    <col min="3" max="3" width="12.5" style="185" customWidth="1"/>
    <col min="4" max="6" width="13.5" style="185" hidden="1" customWidth="1"/>
    <col min="7" max="7" width="60" style="185" bestFit="1" customWidth="1"/>
    <col min="8" max="8" width="8.83203125" style="67"/>
    <col min="9" max="9" width="11.1640625" style="67" bestFit="1" customWidth="1"/>
    <col min="10" max="16384" width="8.83203125" style="67"/>
  </cols>
  <sheetData>
    <row r="1" spans="1:11" s="61" customFormat="1" ht="24.75" customHeight="1" x14ac:dyDescent="0.2">
      <c r="A1" s="39"/>
      <c r="B1" s="183"/>
      <c r="C1" s="187"/>
      <c r="D1" s="187"/>
      <c r="E1" s="187"/>
      <c r="F1" s="187"/>
      <c r="G1" s="187"/>
    </row>
    <row r="2" spans="1:11" s="62" customFormat="1" ht="22.5" customHeight="1" x14ac:dyDescent="0.2">
      <c r="A2" s="184" t="s">
        <v>1189</v>
      </c>
      <c r="B2" s="184"/>
      <c r="C2" s="184"/>
      <c r="D2" s="184"/>
      <c r="E2" s="184"/>
      <c r="F2" s="184"/>
      <c r="G2" s="184"/>
      <c r="J2" s="63"/>
      <c r="K2" s="63"/>
    </row>
    <row r="3" spans="1:11" s="64" customFormat="1" ht="22" customHeight="1" x14ac:dyDescent="0.2">
      <c r="A3" s="111" t="s">
        <v>71</v>
      </c>
      <c r="B3" s="111" t="s">
        <v>72</v>
      </c>
      <c r="C3" s="111" t="s">
        <v>73</v>
      </c>
      <c r="D3" s="188" t="s">
        <v>4</v>
      </c>
      <c r="E3" s="111" t="s">
        <v>5</v>
      </c>
      <c r="F3" s="111" t="s">
        <v>74</v>
      </c>
      <c r="G3" s="111" t="s">
        <v>75</v>
      </c>
    </row>
    <row r="4" spans="1:11" s="66" customFormat="1" ht="22" customHeight="1" x14ac:dyDescent="0.2">
      <c r="A4" s="65" t="s">
        <v>1190</v>
      </c>
      <c r="B4" s="65"/>
      <c r="C4" s="65"/>
      <c r="D4" s="65"/>
      <c r="E4" s="65"/>
      <c r="F4" s="65"/>
      <c r="G4" s="65"/>
    </row>
    <row r="5" spans="1:11" ht="22" customHeight="1" x14ac:dyDescent="0.2">
      <c r="A5" s="39" t="s">
        <v>1191</v>
      </c>
      <c r="B5" s="32" t="s">
        <v>1192</v>
      </c>
      <c r="C5" s="197" t="s">
        <v>98</v>
      </c>
      <c r="D5" s="189"/>
      <c r="E5" s="189">
        <v>4</v>
      </c>
      <c r="F5" s="189">
        <v>5</v>
      </c>
      <c r="H5" s="228"/>
      <c r="I5" s="228"/>
    </row>
    <row r="6" spans="1:11" s="40" customFormat="1" ht="22" customHeight="1" x14ac:dyDescent="0.2">
      <c r="A6" s="40" t="s">
        <v>1193</v>
      </c>
      <c r="B6" s="40" t="s">
        <v>1194</v>
      </c>
      <c r="C6" s="197" t="s">
        <v>98</v>
      </c>
      <c r="D6" s="189"/>
      <c r="E6" s="189">
        <v>4</v>
      </c>
      <c r="F6" s="189">
        <v>5</v>
      </c>
    </row>
    <row r="7" spans="1:11" ht="22" customHeight="1" x14ac:dyDescent="0.2">
      <c r="A7" s="39" t="s">
        <v>1195</v>
      </c>
      <c r="B7" s="32" t="s">
        <v>1196</v>
      </c>
      <c r="C7" s="197" t="s">
        <v>98</v>
      </c>
      <c r="D7" s="189"/>
      <c r="E7" s="189">
        <v>4</v>
      </c>
      <c r="F7" s="189">
        <v>5</v>
      </c>
      <c r="H7" s="68"/>
      <c r="I7" s="69"/>
    </row>
    <row r="8" spans="1:11" s="40" customFormat="1" ht="22" customHeight="1" x14ac:dyDescent="0.2">
      <c r="A8" s="40" t="s">
        <v>1197</v>
      </c>
      <c r="B8" s="40" t="s">
        <v>1198</v>
      </c>
      <c r="C8" s="197" t="s">
        <v>98</v>
      </c>
      <c r="D8" s="189"/>
      <c r="E8" s="189">
        <v>4</v>
      </c>
      <c r="F8" s="189">
        <v>5</v>
      </c>
    </row>
    <row r="9" spans="1:11" ht="22" customHeight="1" x14ac:dyDescent="0.2">
      <c r="A9" s="39" t="s">
        <v>1199</v>
      </c>
      <c r="B9" s="32" t="s">
        <v>1200</v>
      </c>
      <c r="C9" s="197" t="s">
        <v>364</v>
      </c>
      <c r="D9" s="189"/>
      <c r="E9" s="189">
        <v>4</v>
      </c>
      <c r="F9" s="189">
        <v>5</v>
      </c>
      <c r="H9" s="68"/>
      <c r="I9" s="69"/>
    </row>
    <row r="10" spans="1:11" s="40" customFormat="1" ht="22" customHeight="1" x14ac:dyDescent="0.2">
      <c r="A10" s="40" t="s">
        <v>1201</v>
      </c>
      <c r="B10" s="40" t="s">
        <v>1202</v>
      </c>
      <c r="C10" s="197" t="s">
        <v>98</v>
      </c>
      <c r="D10" s="189"/>
      <c r="E10" s="189">
        <v>4</v>
      </c>
      <c r="F10" s="189">
        <v>5</v>
      </c>
    </row>
    <row r="11" spans="1:11" ht="22" customHeight="1" x14ac:dyDescent="0.2">
      <c r="A11" s="39" t="s">
        <v>1203</v>
      </c>
      <c r="B11" s="32" t="s">
        <v>1204</v>
      </c>
      <c r="C11" s="197" t="s">
        <v>98</v>
      </c>
      <c r="D11" s="189"/>
      <c r="E11" s="189">
        <v>4</v>
      </c>
      <c r="F11" s="189">
        <v>5</v>
      </c>
      <c r="H11" s="68"/>
      <c r="I11" s="69"/>
    </row>
    <row r="12" spans="1:11" s="40" customFormat="1" ht="22" customHeight="1" x14ac:dyDescent="0.2">
      <c r="A12" s="40" t="s">
        <v>1205</v>
      </c>
      <c r="B12" s="40" t="s">
        <v>1206</v>
      </c>
      <c r="C12" s="197" t="s">
        <v>98</v>
      </c>
      <c r="D12" s="189"/>
      <c r="E12" s="189">
        <v>4</v>
      </c>
      <c r="F12" s="189">
        <v>5</v>
      </c>
    </row>
    <row r="13" spans="1:11" ht="22" customHeight="1" x14ac:dyDescent="0.2">
      <c r="A13" s="39" t="s">
        <v>1207</v>
      </c>
      <c r="B13" s="39" t="s">
        <v>1208</v>
      </c>
      <c r="C13" s="197" t="s">
        <v>98</v>
      </c>
      <c r="D13" s="189"/>
      <c r="E13" s="189">
        <v>4</v>
      </c>
      <c r="F13" s="189">
        <v>5</v>
      </c>
    </row>
    <row r="14" spans="1:11" s="40" customFormat="1" ht="22" customHeight="1" x14ac:dyDescent="0.2">
      <c r="A14" s="40" t="s">
        <v>1209</v>
      </c>
      <c r="B14" s="40" t="s">
        <v>1210</v>
      </c>
      <c r="C14" s="197" t="s">
        <v>98</v>
      </c>
      <c r="D14" s="189"/>
      <c r="E14" s="189">
        <v>4</v>
      </c>
      <c r="F14" s="189">
        <v>5</v>
      </c>
    </row>
    <row r="15" spans="1:11" ht="22" customHeight="1" x14ac:dyDescent="0.2">
      <c r="A15" s="39" t="s">
        <v>1211</v>
      </c>
      <c r="B15" s="32" t="s">
        <v>1212</v>
      </c>
      <c r="C15" s="197" t="s">
        <v>98</v>
      </c>
      <c r="D15" s="189"/>
      <c r="E15" s="189">
        <v>4</v>
      </c>
      <c r="F15" s="189">
        <v>5</v>
      </c>
    </row>
    <row r="16" spans="1:11" s="40" customFormat="1" ht="22" customHeight="1" x14ac:dyDescent="0.2">
      <c r="A16" s="40" t="s">
        <v>1213</v>
      </c>
      <c r="B16" s="40" t="s">
        <v>1214</v>
      </c>
      <c r="C16" s="197" t="s">
        <v>98</v>
      </c>
      <c r="D16" s="189"/>
      <c r="E16" s="189">
        <v>4</v>
      </c>
      <c r="F16" s="189">
        <v>5</v>
      </c>
    </row>
    <row r="17" spans="1:6" ht="22" customHeight="1" x14ac:dyDescent="0.2">
      <c r="A17" s="39" t="s">
        <v>1215</v>
      </c>
      <c r="B17" s="32" t="s">
        <v>1216</v>
      </c>
      <c r="C17" s="197" t="s">
        <v>98</v>
      </c>
      <c r="D17" s="189"/>
      <c r="E17" s="189">
        <v>4</v>
      </c>
      <c r="F17" s="189">
        <v>5</v>
      </c>
    </row>
    <row r="18" spans="1:6" s="40" customFormat="1" ht="22" customHeight="1" x14ac:dyDescent="0.2">
      <c r="A18" s="40" t="s">
        <v>1217</v>
      </c>
      <c r="B18" s="40" t="s">
        <v>1218</v>
      </c>
      <c r="C18" s="197" t="s">
        <v>98</v>
      </c>
      <c r="D18" s="189"/>
      <c r="E18" s="189">
        <v>4</v>
      </c>
      <c r="F18" s="189">
        <v>5</v>
      </c>
    </row>
    <row r="19" spans="1:6" ht="22" customHeight="1" x14ac:dyDescent="0.2">
      <c r="A19" s="39" t="s">
        <v>1219</v>
      </c>
      <c r="B19" s="32" t="s">
        <v>1220</v>
      </c>
      <c r="C19" s="197" t="s">
        <v>98</v>
      </c>
      <c r="D19" s="189"/>
      <c r="E19" s="189">
        <v>4</v>
      </c>
      <c r="F19" s="189">
        <v>5</v>
      </c>
    </row>
    <row r="20" spans="1:6" s="40" customFormat="1" ht="22" customHeight="1" x14ac:dyDescent="0.2">
      <c r="A20" s="40" t="s">
        <v>1221</v>
      </c>
      <c r="B20" s="40" t="s">
        <v>1222</v>
      </c>
      <c r="C20" s="197" t="s">
        <v>98</v>
      </c>
      <c r="D20" s="189"/>
      <c r="E20" s="189">
        <v>4</v>
      </c>
      <c r="F20" s="189">
        <v>5</v>
      </c>
    </row>
    <row r="21" spans="1:6" ht="22" customHeight="1" x14ac:dyDescent="0.2">
      <c r="A21" s="39" t="s">
        <v>1223</v>
      </c>
      <c r="B21" s="32" t="s">
        <v>1224</v>
      </c>
      <c r="C21" s="197" t="s">
        <v>98</v>
      </c>
      <c r="D21" s="189"/>
      <c r="E21" s="189">
        <v>4</v>
      </c>
      <c r="F21" s="189">
        <v>5</v>
      </c>
    </row>
    <row r="22" spans="1:6" s="40" customFormat="1" ht="22" customHeight="1" x14ac:dyDescent="0.2">
      <c r="A22" s="40" t="s">
        <v>1225</v>
      </c>
      <c r="B22" s="40" t="s">
        <v>1226</v>
      </c>
      <c r="C22" s="197" t="s">
        <v>98</v>
      </c>
      <c r="D22" s="189"/>
      <c r="E22" s="189">
        <v>4</v>
      </c>
      <c r="F22" s="189">
        <v>5</v>
      </c>
    </row>
    <row r="23" spans="1:6" ht="22" customHeight="1" x14ac:dyDescent="0.2">
      <c r="A23" s="39" t="s">
        <v>1227</v>
      </c>
      <c r="B23" s="32" t="s">
        <v>1228</v>
      </c>
      <c r="C23" s="197" t="s">
        <v>98</v>
      </c>
      <c r="D23" s="189"/>
      <c r="E23" s="189">
        <v>4</v>
      </c>
      <c r="F23" s="189">
        <v>5</v>
      </c>
    </row>
    <row r="24" spans="1:6" ht="22" customHeight="1" x14ac:dyDescent="0.2">
      <c r="A24" s="215" t="s">
        <v>1229</v>
      </c>
      <c r="B24" s="201" t="s">
        <v>1230</v>
      </c>
      <c r="C24" s="120" t="s">
        <v>98</v>
      </c>
      <c r="D24" s="202"/>
      <c r="E24" s="202"/>
      <c r="F24" s="202"/>
    </row>
    <row r="25" spans="1:6" ht="22" customHeight="1" x14ac:dyDescent="0.2">
      <c r="A25" s="215" t="s">
        <v>1231</v>
      </c>
      <c r="B25" s="201" t="s">
        <v>1232</v>
      </c>
      <c r="C25" s="120" t="s">
        <v>98</v>
      </c>
      <c r="D25" s="202"/>
      <c r="E25" s="202"/>
      <c r="F25" s="202"/>
    </row>
    <row r="26" spans="1:6" ht="22" customHeight="1" x14ac:dyDescent="0.2">
      <c r="A26" s="215" t="s">
        <v>1233</v>
      </c>
      <c r="B26" s="201" t="s">
        <v>1234</v>
      </c>
      <c r="C26" s="120" t="s">
        <v>98</v>
      </c>
      <c r="D26" s="202"/>
      <c r="E26" s="202"/>
      <c r="F26" s="202"/>
    </row>
    <row r="27" spans="1:6" s="65" customFormat="1" ht="22" customHeight="1" x14ac:dyDescent="0.2">
      <c r="A27" s="65" t="s">
        <v>1235</v>
      </c>
    </row>
    <row r="28" spans="1:6" ht="22" customHeight="1" x14ac:dyDescent="0.2">
      <c r="A28" s="39" t="s">
        <v>1236</v>
      </c>
      <c r="B28" s="39" t="s">
        <v>1237</v>
      </c>
      <c r="C28" s="197" t="s">
        <v>98</v>
      </c>
      <c r="D28" s="189"/>
      <c r="E28" s="189">
        <v>4</v>
      </c>
      <c r="F28" s="189">
        <v>5</v>
      </c>
    </row>
    <row r="29" spans="1:6" s="40" customFormat="1" ht="22" customHeight="1" x14ac:dyDescent="0.2">
      <c r="A29" s="40" t="s">
        <v>1238</v>
      </c>
      <c r="B29" s="40" t="s">
        <v>1239</v>
      </c>
      <c r="C29" s="197" t="s">
        <v>98</v>
      </c>
      <c r="D29" s="189"/>
      <c r="E29" s="189">
        <v>4</v>
      </c>
      <c r="F29" s="189">
        <v>5</v>
      </c>
    </row>
    <row r="30" spans="1:6" ht="22" customHeight="1" x14ac:dyDescent="0.2">
      <c r="A30" s="39" t="s">
        <v>1240</v>
      </c>
      <c r="B30" s="215" t="s">
        <v>1241</v>
      </c>
      <c r="C30" s="197" t="s">
        <v>98</v>
      </c>
      <c r="D30" s="189"/>
      <c r="E30" s="189">
        <v>4</v>
      </c>
      <c r="F30" s="189">
        <v>5</v>
      </c>
    </row>
    <row r="31" spans="1:6" s="40" customFormat="1" ht="22" customHeight="1" x14ac:dyDescent="0.2">
      <c r="A31" s="40" t="s">
        <v>1242</v>
      </c>
      <c r="B31" s="40" t="s">
        <v>1243</v>
      </c>
      <c r="C31" s="197" t="s">
        <v>98</v>
      </c>
      <c r="D31" s="189"/>
      <c r="E31" s="189">
        <v>4</v>
      </c>
      <c r="F31" s="189">
        <v>5</v>
      </c>
    </row>
    <row r="32" spans="1:6" ht="22" customHeight="1" x14ac:dyDescent="0.2">
      <c r="A32" s="39" t="s">
        <v>1244</v>
      </c>
      <c r="B32" s="39" t="s">
        <v>1245</v>
      </c>
      <c r="C32" s="197" t="s">
        <v>98</v>
      </c>
      <c r="D32" s="189"/>
      <c r="E32" s="189">
        <v>4</v>
      </c>
      <c r="F32" s="189">
        <v>5</v>
      </c>
    </row>
    <row r="33" spans="1:7" s="40" customFormat="1" ht="22" customHeight="1" x14ac:dyDescent="0.2">
      <c r="A33" s="40" t="s">
        <v>1246</v>
      </c>
      <c r="B33" s="40" t="s">
        <v>1247</v>
      </c>
      <c r="C33" s="197" t="s">
        <v>98</v>
      </c>
      <c r="D33" s="189"/>
      <c r="E33" s="189">
        <v>4</v>
      </c>
      <c r="F33" s="189">
        <v>5</v>
      </c>
    </row>
    <row r="34" spans="1:7" ht="22" customHeight="1" x14ac:dyDescent="0.2">
      <c r="A34" s="39" t="s">
        <v>1248</v>
      </c>
      <c r="B34" s="39" t="s">
        <v>1249</v>
      </c>
      <c r="C34" s="197" t="s">
        <v>98</v>
      </c>
      <c r="D34" s="189"/>
      <c r="E34" s="189">
        <v>4</v>
      </c>
      <c r="F34" s="189">
        <v>5</v>
      </c>
    </row>
    <row r="35" spans="1:7" s="40" customFormat="1" ht="22" customHeight="1" x14ac:dyDescent="0.2">
      <c r="A35" s="40" t="s">
        <v>1250</v>
      </c>
      <c r="B35" s="40" t="s">
        <v>1251</v>
      </c>
      <c r="C35" s="197" t="s">
        <v>364</v>
      </c>
      <c r="D35" s="189"/>
      <c r="E35" s="189">
        <v>4</v>
      </c>
      <c r="F35" s="189">
        <v>5</v>
      </c>
      <c r="G35" s="40" t="s">
        <v>1518</v>
      </c>
    </row>
    <row r="36" spans="1:7" ht="22" customHeight="1" x14ac:dyDescent="0.2">
      <c r="A36" s="39" t="s">
        <v>1252</v>
      </c>
      <c r="B36" s="39" t="s">
        <v>1253</v>
      </c>
      <c r="C36" s="197" t="s">
        <v>98</v>
      </c>
      <c r="D36" s="189"/>
      <c r="E36" s="189">
        <v>4</v>
      </c>
      <c r="F36" s="189">
        <v>5</v>
      </c>
    </row>
    <row r="37" spans="1:7" s="65" customFormat="1" ht="22" customHeight="1" x14ac:dyDescent="0.2">
      <c r="A37" s="65" t="s">
        <v>1254</v>
      </c>
    </row>
    <row r="38" spans="1:7" ht="22" customHeight="1" x14ac:dyDescent="0.2">
      <c r="A38" s="39" t="s">
        <v>1255</v>
      </c>
      <c r="B38" s="39" t="s">
        <v>1256</v>
      </c>
      <c r="C38" s="197" t="s">
        <v>98</v>
      </c>
      <c r="D38" s="189"/>
      <c r="E38" s="189">
        <v>4</v>
      </c>
      <c r="F38" s="189">
        <v>5</v>
      </c>
    </row>
    <row r="39" spans="1:7" s="40" customFormat="1" ht="22" customHeight="1" x14ac:dyDescent="0.2">
      <c r="A39" s="40" t="s">
        <v>1257</v>
      </c>
      <c r="B39" s="40" t="s">
        <v>1258</v>
      </c>
      <c r="C39" s="197" t="s">
        <v>98</v>
      </c>
      <c r="D39" s="189"/>
      <c r="E39" s="189">
        <v>4</v>
      </c>
      <c r="F39" s="189">
        <v>5</v>
      </c>
    </row>
    <row r="40" spans="1:7" ht="22" customHeight="1" x14ac:dyDescent="0.2">
      <c r="A40" s="39" t="s">
        <v>1259</v>
      </c>
      <c r="B40" s="39" t="s">
        <v>1260</v>
      </c>
      <c r="C40" s="197" t="s">
        <v>98</v>
      </c>
      <c r="D40" s="189"/>
      <c r="E40" s="189">
        <v>4</v>
      </c>
      <c r="F40" s="189">
        <v>5</v>
      </c>
    </row>
    <row r="41" spans="1:7" s="40" customFormat="1" ht="22" customHeight="1" x14ac:dyDescent="0.2">
      <c r="A41" s="40" t="s">
        <v>1261</v>
      </c>
      <c r="B41" s="40" t="s">
        <v>1262</v>
      </c>
      <c r="C41" s="197" t="s">
        <v>98</v>
      </c>
      <c r="D41" s="189"/>
      <c r="E41" s="189">
        <v>4</v>
      </c>
      <c r="F41" s="189">
        <v>5</v>
      </c>
    </row>
    <row r="42" spans="1:7" ht="22" customHeight="1" x14ac:dyDescent="0.2">
      <c r="A42" s="39" t="s">
        <v>1263</v>
      </c>
      <c r="B42" s="39" t="s">
        <v>1264</v>
      </c>
      <c r="C42" s="197" t="s">
        <v>98</v>
      </c>
      <c r="D42" s="189"/>
      <c r="E42" s="189">
        <v>4</v>
      </c>
      <c r="F42" s="189">
        <v>5</v>
      </c>
    </row>
    <row r="43" spans="1:7" s="40" customFormat="1" ht="22" customHeight="1" x14ac:dyDescent="0.2">
      <c r="A43" s="40" t="s">
        <v>1265</v>
      </c>
      <c r="B43" s="40" t="s">
        <v>1266</v>
      </c>
      <c r="C43" s="197" t="s">
        <v>98</v>
      </c>
      <c r="D43" s="189"/>
      <c r="E43" s="189">
        <v>4</v>
      </c>
      <c r="F43" s="189">
        <v>5</v>
      </c>
    </row>
    <row r="44" spans="1:7" ht="22" customHeight="1" x14ac:dyDescent="0.2">
      <c r="A44" s="39" t="s">
        <v>1267</v>
      </c>
      <c r="B44" s="39" t="s">
        <v>1268</v>
      </c>
      <c r="C44" s="197" t="s">
        <v>98</v>
      </c>
      <c r="D44" s="189"/>
      <c r="E44" s="189">
        <v>4</v>
      </c>
      <c r="F44" s="189">
        <v>5</v>
      </c>
    </row>
    <row r="45" spans="1:7" s="40" customFormat="1" ht="22" customHeight="1" x14ac:dyDescent="0.2">
      <c r="A45" s="40" t="s">
        <v>1269</v>
      </c>
      <c r="B45" s="40" t="s">
        <v>1270</v>
      </c>
      <c r="C45" s="197" t="s">
        <v>98</v>
      </c>
      <c r="D45" s="189"/>
      <c r="E45" s="189">
        <v>4</v>
      </c>
      <c r="F45" s="189">
        <v>5</v>
      </c>
    </row>
    <row r="46" spans="1:7" ht="22" customHeight="1" x14ac:dyDescent="0.2">
      <c r="A46" s="39" t="s">
        <v>1271</v>
      </c>
      <c r="B46" s="39" t="s">
        <v>1272</v>
      </c>
      <c r="C46" s="197" t="s">
        <v>98</v>
      </c>
      <c r="D46" s="189"/>
      <c r="E46" s="189">
        <v>4</v>
      </c>
      <c r="F46" s="189">
        <v>5</v>
      </c>
    </row>
    <row r="47" spans="1:7" s="40" customFormat="1" ht="22" customHeight="1" x14ac:dyDescent="0.2">
      <c r="A47" s="40" t="s">
        <v>1273</v>
      </c>
      <c r="B47" s="40" t="s">
        <v>1274</v>
      </c>
      <c r="C47" s="197" t="s">
        <v>98</v>
      </c>
      <c r="D47" s="189"/>
      <c r="E47" s="189">
        <v>4</v>
      </c>
      <c r="F47" s="189">
        <v>5</v>
      </c>
    </row>
    <row r="48" spans="1:7" ht="22" customHeight="1" x14ac:dyDescent="0.2">
      <c r="A48" s="39" t="s">
        <v>1275</v>
      </c>
      <c r="B48" s="39" t="s">
        <v>1276</v>
      </c>
      <c r="C48" s="197" t="s">
        <v>98</v>
      </c>
      <c r="D48" s="189"/>
      <c r="E48" s="189">
        <v>4</v>
      </c>
      <c r="F48" s="189">
        <v>5</v>
      </c>
    </row>
    <row r="49" spans="1:7" s="40" customFormat="1" ht="22" customHeight="1" x14ac:dyDescent="0.2">
      <c r="A49" s="40" t="s">
        <v>1277</v>
      </c>
      <c r="B49" s="40" t="s">
        <v>1278</v>
      </c>
      <c r="C49" s="197" t="s">
        <v>98</v>
      </c>
      <c r="D49" s="189"/>
      <c r="E49" s="189">
        <v>4</v>
      </c>
      <c r="F49" s="189">
        <v>5</v>
      </c>
    </row>
    <row r="50" spans="1:7" ht="22" customHeight="1" x14ac:dyDescent="0.2">
      <c r="A50" s="39" t="s">
        <v>1279</v>
      </c>
      <c r="B50" s="39" t="s">
        <v>1280</v>
      </c>
      <c r="C50" s="197" t="s">
        <v>98</v>
      </c>
      <c r="D50" s="189"/>
      <c r="E50" s="189">
        <v>4</v>
      </c>
      <c r="F50" s="189">
        <v>5</v>
      </c>
    </row>
    <row r="51" spans="1:7" s="40" customFormat="1" ht="22" customHeight="1" x14ac:dyDescent="0.2">
      <c r="A51" s="40" t="s">
        <v>1281</v>
      </c>
      <c r="B51" s="40" t="s">
        <v>1282</v>
      </c>
      <c r="C51" s="197" t="s">
        <v>98</v>
      </c>
      <c r="D51" s="189"/>
      <c r="E51" s="189">
        <v>4</v>
      </c>
      <c r="F51" s="189">
        <v>5</v>
      </c>
    </row>
    <row r="52" spans="1:7" ht="22" customHeight="1" x14ac:dyDescent="0.2">
      <c r="A52" s="39" t="s">
        <v>1283</v>
      </c>
      <c r="B52" s="39" t="s">
        <v>1284</v>
      </c>
      <c r="C52" s="197" t="s">
        <v>98</v>
      </c>
      <c r="D52" s="189"/>
      <c r="E52" s="189">
        <v>4</v>
      </c>
      <c r="F52" s="189">
        <v>5</v>
      </c>
    </row>
    <row r="53" spans="1:7" s="40" customFormat="1" ht="22" customHeight="1" x14ac:dyDescent="0.2">
      <c r="A53" s="40" t="s">
        <v>1285</v>
      </c>
      <c r="B53" s="40" t="s">
        <v>1286</v>
      </c>
      <c r="C53" s="197" t="s">
        <v>98</v>
      </c>
      <c r="D53" s="189"/>
      <c r="E53" s="189">
        <v>4</v>
      </c>
      <c r="F53" s="189">
        <v>5</v>
      </c>
    </row>
    <row r="54" spans="1:7" ht="22" customHeight="1" x14ac:dyDescent="0.2">
      <c r="A54" s="39" t="s">
        <v>1287</v>
      </c>
      <c r="B54" s="39" t="s">
        <v>1288</v>
      </c>
      <c r="C54" s="197" t="s">
        <v>98</v>
      </c>
      <c r="D54" s="189"/>
      <c r="E54" s="189">
        <v>4</v>
      </c>
      <c r="F54" s="189">
        <v>5</v>
      </c>
    </row>
    <row r="55" spans="1:7" s="40" customFormat="1" ht="22" customHeight="1" x14ac:dyDescent="0.2">
      <c r="A55" s="40" t="s">
        <v>1289</v>
      </c>
      <c r="B55" s="40" t="s">
        <v>1290</v>
      </c>
      <c r="C55" s="197" t="s">
        <v>98</v>
      </c>
      <c r="D55" s="189"/>
      <c r="E55" s="189">
        <v>4</v>
      </c>
      <c r="F55" s="189">
        <v>5</v>
      </c>
    </row>
    <row r="56" spans="1:7" ht="22" customHeight="1" x14ac:dyDescent="0.2">
      <c r="A56" s="39" t="s">
        <v>1291</v>
      </c>
      <c r="B56" s="39" t="s">
        <v>1292</v>
      </c>
      <c r="C56" s="197" t="s">
        <v>98</v>
      </c>
      <c r="D56" s="189"/>
      <c r="E56" s="189">
        <v>4</v>
      </c>
      <c r="F56" s="189">
        <v>5</v>
      </c>
    </row>
    <row r="57" spans="1:7" s="40" customFormat="1" ht="22" customHeight="1" x14ac:dyDescent="0.2">
      <c r="A57" s="40" t="s">
        <v>1293</v>
      </c>
      <c r="B57" s="40" t="s">
        <v>1294</v>
      </c>
      <c r="C57" s="197" t="s">
        <v>98</v>
      </c>
      <c r="D57" s="189"/>
      <c r="E57" s="189">
        <v>4</v>
      </c>
      <c r="F57" s="189">
        <v>5</v>
      </c>
    </row>
    <row r="58" spans="1:7" ht="22" customHeight="1" x14ac:dyDescent="0.2">
      <c r="A58" s="39" t="s">
        <v>1295</v>
      </c>
      <c r="B58" s="39" t="s">
        <v>1296</v>
      </c>
      <c r="C58" s="197" t="s">
        <v>98</v>
      </c>
      <c r="D58" s="189"/>
      <c r="E58" s="189">
        <v>4</v>
      </c>
      <c r="F58" s="189">
        <v>5</v>
      </c>
    </row>
    <row r="59" spans="1:7" s="40" customFormat="1" ht="22" customHeight="1" x14ac:dyDescent="0.2">
      <c r="A59" s="40" t="s">
        <v>1297</v>
      </c>
      <c r="B59" s="40" t="s">
        <v>1298</v>
      </c>
      <c r="C59" s="197" t="s">
        <v>98</v>
      </c>
      <c r="D59" s="189"/>
      <c r="E59" s="189">
        <v>4</v>
      </c>
      <c r="F59" s="189">
        <v>5</v>
      </c>
      <c r="G59" s="40" t="s">
        <v>1519</v>
      </c>
    </row>
    <row r="60" spans="1:7" s="55" customFormat="1" ht="22" customHeight="1" x14ac:dyDescent="0.2">
      <c r="A60" s="204" t="s">
        <v>1299</v>
      </c>
      <c r="B60" s="204" t="s">
        <v>1300</v>
      </c>
      <c r="C60" s="197" t="s">
        <v>373</v>
      </c>
      <c r="D60" s="198"/>
      <c r="E60" s="198"/>
      <c r="F60" s="198"/>
      <c r="G60" s="198"/>
    </row>
    <row r="61" spans="1:7" s="65" customFormat="1" ht="22" customHeight="1" x14ac:dyDescent="0.2">
      <c r="A61" s="205" t="s">
        <v>1301</v>
      </c>
      <c r="B61" s="205" t="s">
        <v>1302</v>
      </c>
      <c r="C61" s="197" t="s">
        <v>373</v>
      </c>
      <c r="D61" s="203"/>
      <c r="E61" s="203"/>
      <c r="F61" s="203"/>
      <c r="G61" s="203"/>
    </row>
    <row r="62" spans="1:7" ht="22" customHeight="1" x14ac:dyDescent="0.2">
      <c r="A62" s="205" t="s">
        <v>1303</v>
      </c>
      <c r="B62" s="205" t="s">
        <v>1304</v>
      </c>
      <c r="C62" s="197" t="s">
        <v>373</v>
      </c>
      <c r="D62" s="203"/>
      <c r="E62" s="203"/>
      <c r="F62" s="203"/>
      <c r="G62" s="203"/>
    </row>
    <row r="63" spans="1:7" s="40" customFormat="1" ht="22" customHeight="1" x14ac:dyDescent="0.2">
      <c r="A63" s="204" t="s">
        <v>1305</v>
      </c>
      <c r="B63" s="204" t="s">
        <v>1306</v>
      </c>
      <c r="C63" s="197" t="s">
        <v>373</v>
      </c>
      <c r="D63" s="202"/>
      <c r="E63" s="202"/>
      <c r="F63" s="202"/>
      <c r="G63" s="55"/>
    </row>
    <row r="64" spans="1:7" ht="22" customHeight="1" x14ac:dyDescent="0.2">
      <c r="A64" s="65" t="s">
        <v>1307</v>
      </c>
      <c r="B64" s="65"/>
      <c r="C64" s="65"/>
      <c r="D64" s="65"/>
      <c r="E64" s="65"/>
      <c r="F64" s="65"/>
      <c r="G64" s="65"/>
    </row>
    <row r="65" spans="1:7" s="40" customFormat="1" ht="22" customHeight="1" x14ac:dyDescent="0.2">
      <c r="A65" s="39" t="s">
        <v>1308</v>
      </c>
      <c r="B65" s="39" t="s">
        <v>917</v>
      </c>
      <c r="C65" s="197" t="s">
        <v>98</v>
      </c>
      <c r="D65" s="189"/>
      <c r="E65" s="189">
        <v>4</v>
      </c>
      <c r="F65" s="189">
        <v>5</v>
      </c>
      <c r="G65" s="185"/>
    </row>
    <row r="66" spans="1:7" ht="22" customHeight="1" x14ac:dyDescent="0.2">
      <c r="A66" s="35" t="s">
        <v>1309</v>
      </c>
      <c r="B66" s="40" t="s">
        <v>919</v>
      </c>
      <c r="C66" s="197" t="s">
        <v>98</v>
      </c>
      <c r="D66" s="189"/>
      <c r="E66" s="189">
        <v>4</v>
      </c>
      <c r="F66" s="189">
        <v>5</v>
      </c>
      <c r="G66" s="40" t="s">
        <v>1520</v>
      </c>
    </row>
    <row r="67" spans="1:7" s="40" customFormat="1" ht="22" customHeight="1" x14ac:dyDescent="0.2">
      <c r="A67" s="39" t="s">
        <v>1310</v>
      </c>
      <c r="B67" s="39" t="s">
        <v>921</v>
      </c>
      <c r="C67" s="197" t="s">
        <v>98</v>
      </c>
      <c r="D67" s="189"/>
      <c r="E67" s="189">
        <v>4</v>
      </c>
      <c r="F67" s="189">
        <v>5</v>
      </c>
      <c r="G67" s="185"/>
    </row>
    <row r="68" spans="1:7" ht="22" customHeight="1" x14ac:dyDescent="0.2">
      <c r="A68" s="35" t="s">
        <v>1311</v>
      </c>
      <c r="B68" s="40" t="s">
        <v>923</v>
      </c>
      <c r="C68" s="197" t="s">
        <v>98</v>
      </c>
      <c r="D68" s="189"/>
      <c r="E68" s="189">
        <v>4</v>
      </c>
      <c r="F68" s="189">
        <v>5</v>
      </c>
      <c r="G68" s="40"/>
    </row>
    <row r="69" spans="1:7" s="40" customFormat="1" ht="22" customHeight="1" x14ac:dyDescent="0.2">
      <c r="A69" s="39" t="s">
        <v>1312</v>
      </c>
      <c r="B69" s="39" t="s">
        <v>925</v>
      </c>
      <c r="C69" s="197" t="s">
        <v>98</v>
      </c>
      <c r="D69" s="189"/>
      <c r="E69" s="189">
        <v>4</v>
      </c>
      <c r="F69" s="189">
        <v>5</v>
      </c>
      <c r="G69" s="185"/>
    </row>
    <row r="70" spans="1:7" ht="22" customHeight="1" x14ac:dyDescent="0.2">
      <c r="A70" s="35" t="s">
        <v>1313</v>
      </c>
      <c r="B70" s="40" t="s">
        <v>927</v>
      </c>
      <c r="C70" s="197" t="s">
        <v>98</v>
      </c>
      <c r="D70" s="189"/>
      <c r="E70" s="189">
        <v>4</v>
      </c>
      <c r="F70" s="189">
        <v>5</v>
      </c>
      <c r="G70" s="40"/>
    </row>
    <row r="71" spans="1:7" s="40" customFormat="1" ht="22" customHeight="1" x14ac:dyDescent="0.2">
      <c r="A71" s="39" t="s">
        <v>1314</v>
      </c>
      <c r="B71" s="39" t="s">
        <v>929</v>
      </c>
      <c r="C71" s="197" t="s">
        <v>98</v>
      </c>
      <c r="D71" s="189"/>
      <c r="E71" s="189">
        <v>4</v>
      </c>
      <c r="F71" s="189">
        <v>5</v>
      </c>
      <c r="G71" s="185"/>
    </row>
    <row r="72" spans="1:7" ht="22" customHeight="1" x14ac:dyDescent="0.2">
      <c r="A72" s="35" t="s">
        <v>1315</v>
      </c>
      <c r="B72" s="40" t="s">
        <v>931</v>
      </c>
      <c r="C72" s="197" t="s">
        <v>98</v>
      </c>
      <c r="D72" s="189"/>
      <c r="E72" s="189">
        <v>4</v>
      </c>
      <c r="F72" s="189">
        <v>5</v>
      </c>
      <c r="G72" s="40"/>
    </row>
    <row r="73" spans="1:7" s="40" customFormat="1" ht="22" customHeight="1" x14ac:dyDescent="0.2">
      <c r="A73" s="39" t="s">
        <v>1316</v>
      </c>
      <c r="B73" s="39" t="s">
        <v>933</v>
      </c>
      <c r="C73" s="197" t="s">
        <v>98</v>
      </c>
      <c r="D73" s="189"/>
      <c r="E73" s="189">
        <v>4</v>
      </c>
      <c r="F73" s="189">
        <v>5</v>
      </c>
      <c r="G73" s="185"/>
    </row>
    <row r="74" spans="1:7" ht="22" customHeight="1" x14ac:dyDescent="0.2">
      <c r="A74" s="35" t="s">
        <v>1317</v>
      </c>
      <c r="B74" s="40" t="s">
        <v>935</v>
      </c>
      <c r="C74" s="197" t="s">
        <v>98</v>
      </c>
      <c r="D74" s="189"/>
      <c r="E74" s="189">
        <v>4</v>
      </c>
      <c r="F74" s="189">
        <v>5</v>
      </c>
      <c r="G74" s="40"/>
    </row>
    <row r="75" spans="1:7" s="40" customFormat="1" ht="22" customHeight="1" x14ac:dyDescent="0.2">
      <c r="A75" s="39" t="s">
        <v>1318</v>
      </c>
      <c r="B75" s="39" t="s">
        <v>937</v>
      </c>
      <c r="C75" s="197" t="s">
        <v>373</v>
      </c>
      <c r="D75" s="189"/>
      <c r="E75" s="189">
        <v>4</v>
      </c>
      <c r="F75" s="189">
        <v>5</v>
      </c>
      <c r="G75" s="185" t="s">
        <v>1521</v>
      </c>
    </row>
    <row r="76" spans="1:7" ht="22" customHeight="1" x14ac:dyDescent="0.2">
      <c r="A76" s="35" t="s">
        <v>1319</v>
      </c>
      <c r="B76" s="40" t="s">
        <v>939</v>
      </c>
      <c r="C76" s="197" t="s">
        <v>373</v>
      </c>
      <c r="D76" s="189"/>
      <c r="E76" s="189">
        <v>4</v>
      </c>
      <c r="F76" s="189">
        <v>5</v>
      </c>
      <c r="G76" s="117" t="s">
        <v>438</v>
      </c>
    </row>
    <row r="77" spans="1:7" s="40" customFormat="1" ht="22" customHeight="1" x14ac:dyDescent="0.2">
      <c r="A77" s="39" t="s">
        <v>1320</v>
      </c>
      <c r="B77" s="39" t="s">
        <v>941</v>
      </c>
      <c r="C77" s="197" t="s">
        <v>370</v>
      </c>
      <c r="D77" s="189"/>
      <c r="E77" s="189">
        <v>4</v>
      </c>
      <c r="F77" s="189">
        <v>5</v>
      </c>
      <c r="G77" s="117" t="s">
        <v>441</v>
      </c>
    </row>
    <row r="78" spans="1:7" ht="22" customHeight="1" x14ac:dyDescent="0.2">
      <c r="A78" s="35" t="s">
        <v>1321</v>
      </c>
      <c r="B78" s="40" t="s">
        <v>943</v>
      </c>
      <c r="C78" s="197" t="s">
        <v>364</v>
      </c>
      <c r="D78" s="189"/>
      <c r="E78" s="189">
        <v>4</v>
      </c>
      <c r="F78" s="189">
        <v>5</v>
      </c>
      <c r="G78" s="40"/>
    </row>
    <row r="79" spans="1:7" s="40" customFormat="1" ht="22" customHeight="1" x14ac:dyDescent="0.2">
      <c r="A79" s="39" t="s">
        <v>1322</v>
      </c>
      <c r="B79" s="39" t="s">
        <v>945</v>
      </c>
      <c r="C79" s="197" t="s">
        <v>364</v>
      </c>
      <c r="D79" s="189"/>
      <c r="E79" s="189">
        <v>4</v>
      </c>
      <c r="F79" s="189">
        <v>5</v>
      </c>
      <c r="G79" s="185"/>
    </row>
    <row r="80" spans="1:7" ht="22" customHeight="1" x14ac:dyDescent="0.2">
      <c r="A80" s="35" t="s">
        <v>1323</v>
      </c>
      <c r="B80" s="40" t="s">
        <v>947</v>
      </c>
      <c r="C80" s="197" t="s">
        <v>98</v>
      </c>
      <c r="D80" s="189"/>
      <c r="E80" s="189">
        <v>4</v>
      </c>
      <c r="F80" s="189">
        <v>5</v>
      </c>
      <c r="G80" s="40"/>
    </row>
    <row r="81" spans="1:7" s="40" customFormat="1" ht="22" customHeight="1" x14ac:dyDescent="0.2">
      <c r="A81" s="39" t="s">
        <v>1324</v>
      </c>
      <c r="B81" s="39" t="s">
        <v>949</v>
      </c>
      <c r="C81" s="197" t="s">
        <v>98</v>
      </c>
      <c r="D81" s="189"/>
      <c r="E81" s="189">
        <v>4</v>
      </c>
      <c r="F81" s="189">
        <v>5</v>
      </c>
      <c r="G81" s="185"/>
    </row>
    <row r="82" spans="1:7" ht="22" customHeight="1" x14ac:dyDescent="0.2">
      <c r="A82" s="35" t="s">
        <v>1325</v>
      </c>
      <c r="B82" s="40" t="s">
        <v>951</v>
      </c>
      <c r="C82" s="197" t="s">
        <v>98</v>
      </c>
      <c r="D82" s="189"/>
      <c r="E82" s="189">
        <v>4</v>
      </c>
      <c r="F82" s="189">
        <v>5</v>
      </c>
      <c r="G82" s="40"/>
    </row>
    <row r="83" spans="1:7" s="40" customFormat="1" ht="22" customHeight="1" x14ac:dyDescent="0.2">
      <c r="A83" s="39" t="s">
        <v>1326</v>
      </c>
      <c r="B83" s="39" t="s">
        <v>953</v>
      </c>
      <c r="C83" s="197" t="s">
        <v>370</v>
      </c>
      <c r="D83" s="189"/>
      <c r="E83" s="189">
        <v>4</v>
      </c>
      <c r="F83" s="189">
        <v>5</v>
      </c>
    </row>
    <row r="84" spans="1:7" ht="22" customHeight="1" x14ac:dyDescent="0.2">
      <c r="A84" s="35" t="s">
        <v>1327</v>
      </c>
      <c r="B84" s="40" t="s">
        <v>955</v>
      </c>
      <c r="C84" s="197" t="s">
        <v>79</v>
      </c>
      <c r="D84" s="189"/>
      <c r="E84" s="189">
        <v>4</v>
      </c>
      <c r="F84" s="189">
        <v>5</v>
      </c>
    </row>
    <row r="85" spans="1:7" s="40" customFormat="1" ht="22" customHeight="1" x14ac:dyDescent="0.2">
      <c r="A85" s="39" t="s">
        <v>1328</v>
      </c>
      <c r="B85" s="39" t="s">
        <v>957</v>
      </c>
      <c r="C85" s="197" t="s">
        <v>98</v>
      </c>
      <c r="D85" s="189"/>
      <c r="E85" s="189">
        <v>4</v>
      </c>
      <c r="F85" s="189">
        <v>5</v>
      </c>
      <c r="G85" s="185"/>
    </row>
    <row r="86" spans="1:7" ht="22" customHeight="1" x14ac:dyDescent="0.2">
      <c r="A86" s="35" t="s">
        <v>1329</v>
      </c>
      <c r="B86" s="40" t="s">
        <v>959</v>
      </c>
      <c r="C86" s="197" t="s">
        <v>79</v>
      </c>
      <c r="D86" s="189"/>
      <c r="E86" s="189">
        <v>4</v>
      </c>
      <c r="F86" s="189">
        <v>5</v>
      </c>
      <c r="G86" s="40" t="s">
        <v>1522</v>
      </c>
    </row>
    <row r="87" spans="1:7" s="40" customFormat="1" ht="22" customHeight="1" x14ac:dyDescent="0.2">
      <c r="A87" s="39" t="s">
        <v>1330</v>
      </c>
      <c r="B87" s="39" t="s">
        <v>961</v>
      </c>
      <c r="C87" s="197" t="s">
        <v>364</v>
      </c>
      <c r="D87" s="189"/>
      <c r="E87" s="189">
        <v>4</v>
      </c>
      <c r="F87" s="189">
        <v>5</v>
      </c>
      <c r="G87" s="185"/>
    </row>
    <row r="88" spans="1:7" ht="22" customHeight="1" x14ac:dyDescent="0.2">
      <c r="A88" s="35" t="s">
        <v>1331</v>
      </c>
      <c r="B88" s="40" t="s">
        <v>963</v>
      </c>
      <c r="C88" s="197" t="s">
        <v>364</v>
      </c>
      <c r="D88" s="189"/>
      <c r="E88" s="189">
        <v>4</v>
      </c>
      <c r="F88" s="189">
        <v>5</v>
      </c>
      <c r="G88" s="40"/>
    </row>
    <row r="89" spans="1:7" s="40" customFormat="1" ht="22" customHeight="1" x14ac:dyDescent="0.2">
      <c r="A89" s="39" t="s">
        <v>1332</v>
      </c>
      <c r="B89" s="39" t="s">
        <v>965</v>
      </c>
      <c r="C89" s="197" t="s">
        <v>364</v>
      </c>
      <c r="D89" s="189"/>
      <c r="E89" s="189">
        <v>4</v>
      </c>
      <c r="F89" s="189">
        <v>5</v>
      </c>
      <c r="G89" s="185"/>
    </row>
    <row r="90" spans="1:7" ht="22" customHeight="1" x14ac:dyDescent="0.2">
      <c r="A90" s="35" t="s">
        <v>1333</v>
      </c>
      <c r="B90" s="40" t="s">
        <v>469</v>
      </c>
      <c r="C90" s="197" t="s">
        <v>98</v>
      </c>
      <c r="D90" s="189"/>
      <c r="E90" s="189">
        <v>4</v>
      </c>
      <c r="F90" s="189">
        <v>5</v>
      </c>
      <c r="G90" s="40"/>
    </row>
    <row r="91" spans="1:7" s="40" customFormat="1" ht="22" customHeight="1" x14ac:dyDescent="0.2">
      <c r="A91" s="39" t="s">
        <v>1334</v>
      </c>
      <c r="B91" s="39" t="s">
        <v>968</v>
      </c>
      <c r="C91" s="197" t="s">
        <v>364</v>
      </c>
      <c r="D91" s="189"/>
      <c r="E91" s="189">
        <v>4</v>
      </c>
      <c r="F91" s="189">
        <v>5</v>
      </c>
      <c r="G91" s="40" t="s">
        <v>1528</v>
      </c>
    </row>
    <row r="92" spans="1:7" ht="22" customHeight="1" x14ac:dyDescent="0.2">
      <c r="A92" s="35" t="s">
        <v>1335</v>
      </c>
      <c r="B92" s="40" t="s">
        <v>970</v>
      </c>
      <c r="C92" s="197" t="s">
        <v>98</v>
      </c>
      <c r="D92" s="189"/>
      <c r="E92" s="189">
        <v>4</v>
      </c>
      <c r="F92" s="189">
        <v>5</v>
      </c>
      <c r="G92" s="40"/>
    </row>
    <row r="93" spans="1:7" s="40" customFormat="1" ht="22" customHeight="1" x14ac:dyDescent="0.2">
      <c r="A93" s="39" t="s">
        <v>1336</v>
      </c>
      <c r="B93" s="39" t="s">
        <v>972</v>
      </c>
      <c r="C93" s="197" t="s">
        <v>373</v>
      </c>
      <c r="D93" s="189"/>
      <c r="E93" s="189">
        <v>4</v>
      </c>
      <c r="F93" s="189">
        <v>5</v>
      </c>
      <c r="G93" s="185"/>
    </row>
    <row r="94" spans="1:7" ht="22" customHeight="1" x14ac:dyDescent="0.2">
      <c r="A94" s="35" t="s">
        <v>1337</v>
      </c>
      <c r="B94" s="40" t="s">
        <v>974</v>
      </c>
      <c r="C94" s="197" t="s">
        <v>373</v>
      </c>
      <c r="D94" s="189"/>
      <c r="E94" s="189">
        <v>4</v>
      </c>
      <c r="F94" s="189">
        <v>5</v>
      </c>
      <c r="G94" s="40" t="s">
        <v>1523</v>
      </c>
    </row>
    <row r="95" spans="1:7" s="40" customFormat="1" ht="22" customHeight="1" x14ac:dyDescent="0.2">
      <c r="A95" s="39" t="s">
        <v>1338</v>
      </c>
      <c r="B95" s="39" t="s">
        <v>976</v>
      </c>
      <c r="C95" s="197" t="s">
        <v>98</v>
      </c>
      <c r="D95" s="189"/>
      <c r="E95" s="189">
        <v>4</v>
      </c>
      <c r="F95" s="189">
        <v>5</v>
      </c>
      <c r="G95" s="185"/>
    </row>
    <row r="96" spans="1:7" ht="22" customHeight="1" x14ac:dyDescent="0.2">
      <c r="A96" s="35" t="s">
        <v>1339</v>
      </c>
      <c r="B96" s="216" t="s">
        <v>978</v>
      </c>
      <c r="C96" s="197" t="s">
        <v>98</v>
      </c>
      <c r="D96" s="189"/>
      <c r="E96" s="189">
        <v>4</v>
      </c>
      <c r="F96" s="189">
        <v>5</v>
      </c>
      <c r="G96" s="40" t="s">
        <v>1524</v>
      </c>
    </row>
    <row r="97" spans="1:9" s="40" customFormat="1" ht="22" customHeight="1" x14ac:dyDescent="0.2">
      <c r="A97" s="39" t="s">
        <v>1340</v>
      </c>
      <c r="B97" s="39" t="s">
        <v>980</v>
      </c>
      <c r="C97" s="197" t="s">
        <v>373</v>
      </c>
      <c r="D97" s="189"/>
      <c r="E97" s="189">
        <v>4</v>
      </c>
      <c r="F97" s="189">
        <v>5</v>
      </c>
      <c r="G97" s="40" t="s">
        <v>1527</v>
      </c>
    </row>
    <row r="98" spans="1:9" ht="22" customHeight="1" x14ac:dyDescent="0.2">
      <c r="A98" s="35" t="s">
        <v>1341</v>
      </c>
      <c r="B98" s="40" t="s">
        <v>982</v>
      </c>
      <c r="C98" s="197" t="s">
        <v>98</v>
      </c>
      <c r="D98" s="189"/>
      <c r="E98" s="189">
        <v>4</v>
      </c>
      <c r="F98" s="189">
        <v>5</v>
      </c>
      <c r="G98" s="40"/>
    </row>
    <row r="99" spans="1:9" s="40" customFormat="1" ht="22" customHeight="1" x14ac:dyDescent="0.2">
      <c r="A99" s="39" t="s">
        <v>1342</v>
      </c>
      <c r="B99" s="39" t="s">
        <v>984</v>
      </c>
      <c r="C99" s="197" t="s">
        <v>98</v>
      </c>
      <c r="D99" s="189"/>
      <c r="E99" s="189">
        <v>4</v>
      </c>
      <c r="F99" s="189">
        <v>5</v>
      </c>
      <c r="G99" s="185"/>
    </row>
    <row r="100" spans="1:9" s="65" customFormat="1" ht="22" customHeight="1" x14ac:dyDescent="0.2">
      <c r="A100" s="35" t="s">
        <v>1343</v>
      </c>
      <c r="B100" s="40" t="s">
        <v>986</v>
      </c>
      <c r="C100" s="197" t="s">
        <v>98</v>
      </c>
      <c r="D100" s="189"/>
      <c r="E100" s="189">
        <v>4</v>
      </c>
      <c r="F100" s="189">
        <v>5</v>
      </c>
      <c r="G100" s="40"/>
    </row>
    <row r="101" spans="1:9" ht="22" customHeight="1" x14ac:dyDescent="0.2">
      <c r="A101" s="39" t="s">
        <v>1344</v>
      </c>
      <c r="B101" s="39" t="s">
        <v>988</v>
      </c>
      <c r="C101" s="197" t="s">
        <v>98</v>
      </c>
      <c r="D101" s="189"/>
      <c r="E101" s="189">
        <v>4</v>
      </c>
      <c r="F101" s="189">
        <v>5</v>
      </c>
    </row>
    <row r="102" spans="1:9" s="40" customFormat="1" ht="22" customHeight="1" x14ac:dyDescent="0.2">
      <c r="A102" s="35" t="s">
        <v>1345</v>
      </c>
      <c r="B102" s="40" t="s">
        <v>990</v>
      </c>
      <c r="C102" s="197" t="s">
        <v>373</v>
      </c>
      <c r="D102" s="189"/>
      <c r="E102" s="189">
        <v>4</v>
      </c>
      <c r="F102" s="189">
        <v>5</v>
      </c>
      <c r="G102" s="40" t="s">
        <v>1525</v>
      </c>
    </row>
    <row r="103" spans="1:9" s="55" customFormat="1" ht="22" customHeight="1" x14ac:dyDescent="0.2">
      <c r="A103" s="208" t="s">
        <v>1346</v>
      </c>
      <c r="B103" s="208" t="s">
        <v>1347</v>
      </c>
      <c r="C103" s="120" t="s">
        <v>364</v>
      </c>
      <c r="D103" s="202"/>
      <c r="E103" s="202"/>
      <c r="F103" s="202"/>
      <c r="G103" s="55" t="s">
        <v>1526</v>
      </c>
    </row>
    <row r="104" spans="1:9" ht="22" customHeight="1" x14ac:dyDescent="0.2">
      <c r="A104" s="65" t="s">
        <v>1348</v>
      </c>
      <c r="B104" s="65"/>
      <c r="C104" s="65"/>
      <c r="D104" s="65"/>
      <c r="E104" s="65"/>
      <c r="F104" s="65"/>
      <c r="G104" s="65"/>
    </row>
    <row r="105" spans="1:9" s="40" customFormat="1" ht="22" customHeight="1" x14ac:dyDescent="0.2">
      <c r="A105" s="39" t="s">
        <v>1349</v>
      </c>
      <c r="B105" s="39" t="s">
        <v>993</v>
      </c>
      <c r="C105" s="197" t="s">
        <v>98</v>
      </c>
      <c r="D105" s="189"/>
      <c r="E105" s="189">
        <v>4</v>
      </c>
      <c r="F105" s="189">
        <v>5</v>
      </c>
      <c r="G105" s="185"/>
    </row>
    <row r="106" spans="1:9" ht="22" customHeight="1" x14ac:dyDescent="0.2">
      <c r="A106" s="35" t="s">
        <v>1350</v>
      </c>
      <c r="B106" s="40" t="s">
        <v>995</v>
      </c>
      <c r="C106" s="197" t="s">
        <v>98</v>
      </c>
      <c r="D106" s="189"/>
      <c r="E106" s="189">
        <v>4</v>
      </c>
      <c r="F106" s="189">
        <v>5</v>
      </c>
      <c r="G106" s="40"/>
      <c r="H106" s="70"/>
      <c r="I106" s="70"/>
    </row>
    <row r="107" spans="1:9" s="40" customFormat="1" ht="22" customHeight="1" x14ac:dyDescent="0.2">
      <c r="A107" s="39" t="s">
        <v>1351</v>
      </c>
      <c r="B107" s="39" t="s">
        <v>997</v>
      </c>
      <c r="C107" s="197" t="s">
        <v>98</v>
      </c>
      <c r="D107" s="189"/>
      <c r="E107" s="189">
        <v>4</v>
      </c>
      <c r="F107" s="189">
        <v>5</v>
      </c>
      <c r="G107" s="185"/>
    </row>
    <row r="108" spans="1:9" ht="22" customHeight="1" x14ac:dyDescent="0.2">
      <c r="A108" s="35" t="s">
        <v>1352</v>
      </c>
      <c r="B108" s="40" t="s">
        <v>999</v>
      </c>
      <c r="C108" s="197" t="s">
        <v>364</v>
      </c>
      <c r="D108" s="189"/>
      <c r="E108" s="189">
        <v>4</v>
      </c>
      <c r="F108" s="189">
        <v>5</v>
      </c>
      <c r="G108" s="40"/>
      <c r="H108" s="70"/>
      <c r="I108" s="70"/>
    </row>
    <row r="109" spans="1:9" s="40" customFormat="1" ht="22" customHeight="1" x14ac:dyDescent="0.2">
      <c r="A109" s="39" t="s">
        <v>1353</v>
      </c>
      <c r="B109" s="39" t="s">
        <v>1001</v>
      </c>
      <c r="C109" s="197" t="s">
        <v>364</v>
      </c>
      <c r="D109" s="189"/>
      <c r="E109" s="189">
        <v>4</v>
      </c>
      <c r="F109" s="189">
        <v>5</v>
      </c>
      <c r="G109" s="185"/>
    </row>
    <row r="110" spans="1:9" ht="22" customHeight="1" x14ac:dyDescent="0.2">
      <c r="A110" s="35" t="s">
        <v>1354</v>
      </c>
      <c r="B110" s="40" t="s">
        <v>1003</v>
      </c>
      <c r="C110" s="197" t="s">
        <v>98</v>
      </c>
      <c r="D110" s="189"/>
      <c r="E110" s="189">
        <v>4</v>
      </c>
      <c r="F110" s="189">
        <v>5</v>
      </c>
      <c r="G110" s="40"/>
      <c r="H110" s="70"/>
      <c r="I110" s="70"/>
    </row>
    <row r="111" spans="1:9" s="40" customFormat="1" ht="22" customHeight="1" x14ac:dyDescent="0.2">
      <c r="A111" s="39" t="s">
        <v>1355</v>
      </c>
      <c r="B111" s="39" t="s">
        <v>1005</v>
      </c>
      <c r="C111" s="197" t="s">
        <v>98</v>
      </c>
      <c r="D111" s="189"/>
      <c r="E111" s="189">
        <v>4</v>
      </c>
      <c r="F111" s="189">
        <v>5</v>
      </c>
      <c r="G111" s="185"/>
    </row>
    <row r="112" spans="1:9" ht="22" customHeight="1" x14ac:dyDescent="0.2">
      <c r="A112" s="35" t="s">
        <v>1356</v>
      </c>
      <c r="B112" s="40" t="s">
        <v>1007</v>
      </c>
      <c r="C112" s="197" t="s">
        <v>98</v>
      </c>
      <c r="D112" s="189"/>
      <c r="E112" s="189">
        <v>4</v>
      </c>
      <c r="F112" s="189">
        <v>5</v>
      </c>
      <c r="G112" s="40"/>
      <c r="H112" s="70"/>
      <c r="I112" s="70"/>
    </row>
    <row r="113" spans="1:9" s="40" customFormat="1" ht="22" customHeight="1" x14ac:dyDescent="0.2">
      <c r="A113" s="39" t="s">
        <v>1357</v>
      </c>
      <c r="B113" s="39" t="s">
        <v>1009</v>
      </c>
      <c r="C113" s="197" t="s">
        <v>364</v>
      </c>
      <c r="D113" s="189"/>
      <c r="E113" s="189">
        <v>4</v>
      </c>
      <c r="F113" s="189">
        <v>5</v>
      </c>
      <c r="G113" s="185"/>
    </row>
    <row r="114" spans="1:9" ht="22" customHeight="1" x14ac:dyDescent="0.2">
      <c r="A114" s="35" t="s">
        <v>1358</v>
      </c>
      <c r="B114" s="40" t="s">
        <v>1011</v>
      </c>
      <c r="C114" s="197" t="s">
        <v>364</v>
      </c>
      <c r="D114" s="189"/>
      <c r="E114" s="189">
        <v>4</v>
      </c>
      <c r="F114" s="189">
        <v>5</v>
      </c>
      <c r="G114" s="40"/>
      <c r="H114" s="70"/>
      <c r="I114" s="70"/>
    </row>
    <row r="115" spans="1:9" s="40" customFormat="1" ht="22" customHeight="1" x14ac:dyDescent="0.2">
      <c r="A115" s="39" t="s">
        <v>1359</v>
      </c>
      <c r="B115" s="39" t="s">
        <v>1013</v>
      </c>
      <c r="C115" s="197" t="s">
        <v>364</v>
      </c>
      <c r="D115" s="189"/>
      <c r="E115" s="189">
        <v>4</v>
      </c>
      <c r="F115" s="189">
        <v>5</v>
      </c>
      <c r="G115" s="185"/>
    </row>
    <row r="116" spans="1:9" ht="22" customHeight="1" x14ac:dyDescent="0.2">
      <c r="A116" s="35" t="s">
        <v>1360</v>
      </c>
      <c r="B116" s="40" t="s">
        <v>1015</v>
      </c>
      <c r="C116" s="197" t="s">
        <v>98</v>
      </c>
      <c r="D116" s="189"/>
      <c r="E116" s="189">
        <v>4</v>
      </c>
      <c r="F116" s="189">
        <v>5</v>
      </c>
      <c r="G116" s="40"/>
      <c r="H116" s="70"/>
      <c r="I116" s="70"/>
    </row>
    <row r="117" spans="1:9" s="40" customFormat="1" ht="22" customHeight="1" x14ac:dyDescent="0.2">
      <c r="A117" s="39" t="s">
        <v>1361</v>
      </c>
      <c r="B117" s="215" t="s">
        <v>1017</v>
      </c>
      <c r="C117" s="197" t="s">
        <v>79</v>
      </c>
      <c r="D117" s="189"/>
      <c r="E117" s="189">
        <v>4</v>
      </c>
      <c r="F117" s="189">
        <v>5</v>
      </c>
      <c r="G117" s="185"/>
    </row>
    <row r="118" spans="1:9" ht="22" customHeight="1" x14ac:dyDescent="0.2">
      <c r="A118" s="35" t="s">
        <v>1362</v>
      </c>
      <c r="B118" s="216" t="s">
        <v>1363</v>
      </c>
      <c r="C118" s="197" t="s">
        <v>364</v>
      </c>
      <c r="D118" s="189"/>
      <c r="E118" s="189">
        <v>4</v>
      </c>
      <c r="F118" s="189">
        <v>5</v>
      </c>
      <c r="G118" s="40"/>
      <c r="H118" s="70"/>
      <c r="I118" s="70"/>
    </row>
    <row r="119" spans="1:9" s="40" customFormat="1" ht="22" customHeight="1" x14ac:dyDescent="0.2">
      <c r="A119" s="39" t="s">
        <v>1364</v>
      </c>
      <c r="B119" s="39" t="s">
        <v>1021</v>
      </c>
      <c r="C119" s="197" t="s">
        <v>364</v>
      </c>
      <c r="D119" s="189"/>
      <c r="E119" s="189">
        <v>4</v>
      </c>
      <c r="F119" s="189">
        <v>5</v>
      </c>
      <c r="G119" s="185"/>
    </row>
    <row r="120" spans="1:9" ht="22" customHeight="1" x14ac:dyDescent="0.2">
      <c r="A120" s="35" t="s">
        <v>1365</v>
      </c>
      <c r="B120" s="40" t="s">
        <v>1023</v>
      </c>
      <c r="C120" s="197" t="s">
        <v>364</v>
      </c>
      <c r="D120" s="189"/>
      <c r="E120" s="189">
        <v>4</v>
      </c>
      <c r="F120" s="189">
        <v>5</v>
      </c>
      <c r="G120" s="40"/>
      <c r="H120" s="70"/>
      <c r="I120" s="70"/>
    </row>
    <row r="121" spans="1:9" s="40" customFormat="1" ht="22" customHeight="1" x14ac:dyDescent="0.2">
      <c r="A121" s="39" t="s">
        <v>1366</v>
      </c>
      <c r="B121" s="39" t="s">
        <v>1025</v>
      </c>
      <c r="C121" s="197" t="s">
        <v>364</v>
      </c>
      <c r="D121" s="189"/>
      <c r="E121" s="189">
        <v>4</v>
      </c>
      <c r="F121" s="189">
        <v>5</v>
      </c>
      <c r="G121" s="185"/>
    </row>
    <row r="122" spans="1:9" ht="22" customHeight="1" x14ac:dyDescent="0.2">
      <c r="A122" s="35" t="s">
        <v>1367</v>
      </c>
      <c r="B122" s="40" t="s">
        <v>1027</v>
      </c>
      <c r="C122" s="197"/>
      <c r="D122" s="189"/>
      <c r="E122" s="189">
        <v>4</v>
      </c>
      <c r="F122" s="189">
        <v>5</v>
      </c>
      <c r="G122" s="40"/>
      <c r="H122" s="70"/>
      <c r="I122" s="70"/>
    </row>
    <row r="123" spans="1:9" s="40" customFormat="1" ht="22" customHeight="1" x14ac:dyDescent="0.2">
      <c r="A123" s="39" t="s">
        <v>1368</v>
      </c>
      <c r="B123" s="39" t="s">
        <v>1029</v>
      </c>
      <c r="C123" s="197"/>
      <c r="D123" s="189"/>
      <c r="E123" s="189">
        <v>4</v>
      </c>
      <c r="F123" s="189">
        <v>5</v>
      </c>
      <c r="G123" s="185"/>
    </row>
    <row r="124" spans="1:9" ht="22" customHeight="1" x14ac:dyDescent="0.2">
      <c r="A124" s="35" t="s">
        <v>1369</v>
      </c>
      <c r="B124" s="40" t="s">
        <v>1031</v>
      </c>
      <c r="C124" s="197" t="s">
        <v>98</v>
      </c>
      <c r="D124" s="189"/>
      <c r="E124" s="189">
        <v>4</v>
      </c>
      <c r="F124" s="189">
        <v>5</v>
      </c>
      <c r="G124" s="40"/>
      <c r="H124" s="70"/>
      <c r="I124" s="70"/>
    </row>
    <row r="125" spans="1:9" s="40" customFormat="1" ht="22" customHeight="1" x14ac:dyDescent="0.2">
      <c r="A125" s="39" t="s">
        <v>1370</v>
      </c>
      <c r="B125" s="39" t="s">
        <v>1033</v>
      </c>
      <c r="C125" s="197" t="s">
        <v>98</v>
      </c>
      <c r="D125" s="189"/>
      <c r="E125" s="189">
        <v>4</v>
      </c>
      <c r="F125" s="189">
        <v>5</v>
      </c>
      <c r="G125" s="185"/>
    </row>
    <row r="126" spans="1:9" ht="22" customHeight="1" x14ac:dyDescent="0.2">
      <c r="A126" s="35" t="s">
        <v>1371</v>
      </c>
      <c r="B126" s="40" t="s">
        <v>1035</v>
      </c>
      <c r="C126" s="197" t="s">
        <v>98</v>
      </c>
      <c r="D126" s="189"/>
      <c r="E126" s="189">
        <v>4</v>
      </c>
      <c r="F126" s="189">
        <v>5</v>
      </c>
      <c r="G126" s="40"/>
      <c r="H126" s="70"/>
      <c r="I126" s="70"/>
    </row>
    <row r="127" spans="1:9" s="40" customFormat="1" ht="22" customHeight="1" x14ac:dyDescent="0.2">
      <c r="A127" s="39" t="s">
        <v>1372</v>
      </c>
      <c r="B127" s="39" t="s">
        <v>1037</v>
      </c>
      <c r="C127" s="225"/>
      <c r="D127" s="189"/>
      <c r="E127" s="189">
        <v>4</v>
      </c>
      <c r="F127" s="189">
        <v>5</v>
      </c>
      <c r="G127" s="185"/>
    </row>
    <row r="128" spans="1:9" ht="22" customHeight="1" x14ac:dyDescent="0.2">
      <c r="A128" s="35" t="s">
        <v>1373</v>
      </c>
      <c r="B128" s="40" t="s">
        <v>1039</v>
      </c>
      <c r="C128" s="225"/>
      <c r="D128" s="189"/>
      <c r="E128" s="189">
        <v>4</v>
      </c>
      <c r="F128" s="189">
        <v>5</v>
      </c>
      <c r="G128" s="40"/>
      <c r="H128" s="70"/>
      <c r="I128" s="70"/>
    </row>
    <row r="129" spans="1:9" s="40" customFormat="1" ht="22" customHeight="1" x14ac:dyDescent="0.2">
      <c r="A129" s="39" t="s">
        <v>1374</v>
      </c>
      <c r="B129" s="39" t="s">
        <v>1041</v>
      </c>
      <c r="C129" s="225"/>
      <c r="D129" s="189"/>
      <c r="E129" s="189">
        <v>4</v>
      </c>
      <c r="F129" s="189">
        <v>5</v>
      </c>
      <c r="G129" s="185"/>
    </row>
    <row r="130" spans="1:9" ht="22" customHeight="1" x14ac:dyDescent="0.2">
      <c r="A130" s="35" t="s">
        <v>1375</v>
      </c>
      <c r="B130" s="40" t="s">
        <v>1043</v>
      </c>
      <c r="C130" s="225"/>
      <c r="D130" s="189"/>
      <c r="E130" s="189">
        <v>4</v>
      </c>
      <c r="F130" s="189">
        <v>5</v>
      </c>
      <c r="G130" s="40"/>
      <c r="H130" s="70"/>
      <c r="I130" s="70"/>
    </row>
    <row r="131" spans="1:9" s="40" customFormat="1" ht="22" customHeight="1" x14ac:dyDescent="0.2">
      <c r="A131" s="39" t="s">
        <v>1376</v>
      </c>
      <c r="B131" s="39" t="s">
        <v>1045</v>
      </c>
      <c r="C131" s="225"/>
      <c r="D131" s="189"/>
      <c r="E131" s="189">
        <v>4</v>
      </c>
      <c r="F131" s="189">
        <v>5</v>
      </c>
      <c r="G131" s="185"/>
    </row>
    <row r="132" spans="1:9" s="65" customFormat="1" ht="22" customHeight="1" x14ac:dyDescent="0.2">
      <c r="A132" s="35" t="s">
        <v>1377</v>
      </c>
      <c r="B132" s="40" t="s">
        <v>1047</v>
      </c>
      <c r="C132" s="225"/>
      <c r="D132" s="189"/>
      <c r="E132" s="189">
        <v>4</v>
      </c>
      <c r="F132" s="189">
        <v>5</v>
      </c>
      <c r="G132" s="40"/>
    </row>
    <row r="133" spans="1:9" s="39" customFormat="1" ht="22" customHeight="1" x14ac:dyDescent="0.2">
      <c r="A133" s="39" t="s">
        <v>1378</v>
      </c>
      <c r="B133" s="39" t="s">
        <v>1049</v>
      </c>
      <c r="C133" s="225"/>
      <c r="D133" s="189"/>
      <c r="E133" s="189">
        <v>4</v>
      </c>
      <c r="F133" s="189">
        <v>5</v>
      </c>
      <c r="G133" s="185"/>
    </row>
    <row r="134" spans="1:9" s="40" customFormat="1" ht="22" customHeight="1" x14ac:dyDescent="0.2">
      <c r="A134" s="35" t="s">
        <v>1379</v>
      </c>
      <c r="B134" s="40" t="s">
        <v>1051</v>
      </c>
      <c r="C134" s="197" t="s">
        <v>98</v>
      </c>
      <c r="D134" s="189"/>
      <c r="E134" s="189">
        <v>4</v>
      </c>
      <c r="F134" s="189">
        <v>5</v>
      </c>
    </row>
    <row r="135" spans="1:9" s="39" customFormat="1" ht="22" customHeight="1" x14ac:dyDescent="0.2">
      <c r="A135" s="65" t="s">
        <v>1380</v>
      </c>
      <c r="B135" s="65"/>
      <c r="C135" s="65"/>
      <c r="D135" s="65"/>
      <c r="E135" s="65"/>
      <c r="F135" s="65"/>
      <c r="G135" s="65"/>
    </row>
    <row r="136" spans="1:9" s="40" customFormat="1" ht="22" customHeight="1" x14ac:dyDescent="0.2">
      <c r="A136" s="39" t="s">
        <v>1381</v>
      </c>
      <c r="B136" s="39" t="s">
        <v>1382</v>
      </c>
      <c r="C136" s="197" t="s">
        <v>98</v>
      </c>
      <c r="D136" s="189"/>
      <c r="E136" s="189">
        <v>4</v>
      </c>
      <c r="F136" s="189">
        <v>5</v>
      </c>
      <c r="G136" s="39"/>
    </row>
    <row r="137" spans="1:9" s="39" customFormat="1" ht="22" customHeight="1" x14ac:dyDescent="0.2">
      <c r="A137" s="35" t="s">
        <v>1383</v>
      </c>
      <c r="B137" s="40" t="s">
        <v>1384</v>
      </c>
      <c r="C137" s="197" t="s">
        <v>98</v>
      </c>
      <c r="D137" s="189"/>
      <c r="E137" s="189">
        <v>4</v>
      </c>
      <c r="F137" s="189">
        <v>5</v>
      </c>
      <c r="G137" s="40"/>
    </row>
    <row r="138" spans="1:9" s="40" customFormat="1" ht="22" customHeight="1" x14ac:dyDescent="0.2">
      <c r="A138" s="39" t="s">
        <v>1385</v>
      </c>
      <c r="B138" s="39" t="s">
        <v>1386</v>
      </c>
      <c r="C138" s="197" t="s">
        <v>98</v>
      </c>
      <c r="D138" s="189"/>
      <c r="E138" s="189">
        <v>4</v>
      </c>
      <c r="F138" s="189">
        <v>5</v>
      </c>
      <c r="G138" s="32" t="s">
        <v>1529</v>
      </c>
    </row>
    <row r="139" spans="1:9" s="39" customFormat="1" ht="22" customHeight="1" x14ac:dyDescent="0.2">
      <c r="A139" s="35" t="s">
        <v>1387</v>
      </c>
      <c r="B139" s="40" t="s">
        <v>1388</v>
      </c>
      <c r="C139" s="197" t="s">
        <v>98</v>
      </c>
      <c r="D139" s="189"/>
      <c r="E139" s="189">
        <v>4</v>
      </c>
      <c r="F139" s="189">
        <v>5</v>
      </c>
      <c r="G139" s="40"/>
    </row>
    <row r="140" spans="1:9" s="40" customFormat="1" ht="22" customHeight="1" x14ac:dyDescent="0.2">
      <c r="A140" s="39" t="s">
        <v>1389</v>
      </c>
      <c r="B140" s="39" t="s">
        <v>1390</v>
      </c>
      <c r="C140" s="197" t="s">
        <v>98</v>
      </c>
      <c r="D140" s="189"/>
      <c r="E140" s="189">
        <v>4</v>
      </c>
      <c r="F140" s="189">
        <v>5</v>
      </c>
      <c r="G140" s="39"/>
    </row>
    <row r="141" spans="1:9" ht="22" customHeight="1" x14ac:dyDescent="0.2">
      <c r="A141" s="35" t="s">
        <v>1391</v>
      </c>
      <c r="B141" s="40" t="s">
        <v>1392</v>
      </c>
      <c r="C141" s="197" t="s">
        <v>98</v>
      </c>
      <c r="D141" s="189"/>
      <c r="E141" s="189">
        <v>4</v>
      </c>
      <c r="F141" s="189">
        <v>5</v>
      </c>
      <c r="G141" s="40"/>
    </row>
    <row r="142" spans="1:9" s="40" customFormat="1" ht="22" customHeight="1" x14ac:dyDescent="0.2">
      <c r="A142" s="39" t="s">
        <v>1393</v>
      </c>
      <c r="B142" s="39" t="s">
        <v>1394</v>
      </c>
      <c r="C142" s="197" t="s">
        <v>98</v>
      </c>
      <c r="D142" s="189"/>
      <c r="E142" s="189">
        <v>4</v>
      </c>
      <c r="F142" s="189">
        <v>5</v>
      </c>
      <c r="G142" s="39"/>
    </row>
    <row r="143" spans="1:9" ht="22" customHeight="1" x14ac:dyDescent="0.2">
      <c r="A143" s="35" t="s">
        <v>1395</v>
      </c>
      <c r="B143" s="40" t="s">
        <v>1396</v>
      </c>
      <c r="C143" s="197" t="s">
        <v>98</v>
      </c>
      <c r="D143" s="189"/>
      <c r="E143" s="189">
        <v>4</v>
      </c>
      <c r="F143" s="189">
        <v>5</v>
      </c>
      <c r="G143" s="40"/>
    </row>
    <row r="144" spans="1:9" s="40" customFormat="1" ht="22" customHeight="1" x14ac:dyDescent="0.2">
      <c r="A144" s="39" t="s">
        <v>1397</v>
      </c>
      <c r="B144" s="39" t="s">
        <v>1398</v>
      </c>
      <c r="C144" s="197" t="s">
        <v>98</v>
      </c>
      <c r="D144" s="189"/>
      <c r="E144" s="189">
        <v>4</v>
      </c>
      <c r="F144" s="189">
        <v>5</v>
      </c>
      <c r="G144" s="185"/>
    </row>
    <row r="145" spans="1:7" ht="22" customHeight="1" x14ac:dyDescent="0.2">
      <c r="A145" s="35" t="s">
        <v>1399</v>
      </c>
      <c r="B145" s="40" t="s">
        <v>1400</v>
      </c>
      <c r="C145" s="197" t="s">
        <v>98</v>
      </c>
      <c r="D145" s="189"/>
      <c r="E145" s="189">
        <v>4</v>
      </c>
      <c r="F145" s="189">
        <v>5</v>
      </c>
      <c r="G145" s="40"/>
    </row>
    <row r="146" spans="1:7" s="40" customFormat="1" ht="22" customHeight="1" x14ac:dyDescent="0.2">
      <c r="A146" s="39" t="s">
        <v>1401</v>
      </c>
      <c r="B146" s="39" t="s">
        <v>1402</v>
      </c>
      <c r="C146" s="197" t="s">
        <v>98</v>
      </c>
      <c r="D146" s="189"/>
      <c r="E146" s="189">
        <v>4</v>
      </c>
      <c r="F146" s="189">
        <v>5</v>
      </c>
      <c r="G146" s="185"/>
    </row>
    <row r="147" spans="1:7" ht="22" customHeight="1" x14ac:dyDescent="0.2">
      <c r="A147" s="35" t="s">
        <v>1403</v>
      </c>
      <c r="B147" s="40" t="s">
        <v>1404</v>
      </c>
      <c r="C147" s="197" t="s">
        <v>98</v>
      </c>
      <c r="D147" s="189"/>
      <c r="E147" s="189">
        <v>4</v>
      </c>
      <c r="F147" s="189">
        <v>5</v>
      </c>
      <c r="G147" s="40"/>
    </row>
    <row r="148" spans="1:7" s="40" customFormat="1" ht="22" customHeight="1" x14ac:dyDescent="0.2">
      <c r="A148" s="39" t="s">
        <v>1405</v>
      </c>
      <c r="B148" s="39" t="s">
        <v>1406</v>
      </c>
      <c r="C148" s="197" t="s">
        <v>98</v>
      </c>
      <c r="D148" s="189"/>
      <c r="E148" s="189">
        <v>4</v>
      </c>
      <c r="F148" s="189">
        <v>5</v>
      </c>
      <c r="G148" s="185"/>
    </row>
    <row r="149" spans="1:7" ht="22" customHeight="1" x14ac:dyDescent="0.2">
      <c r="A149" s="35" t="s">
        <v>1407</v>
      </c>
      <c r="B149" s="40" t="s">
        <v>1530</v>
      </c>
      <c r="C149" s="197" t="s">
        <v>98</v>
      </c>
      <c r="D149" s="189"/>
      <c r="E149" s="189">
        <v>4</v>
      </c>
      <c r="F149" s="189">
        <v>5</v>
      </c>
      <c r="G149" s="40"/>
    </row>
    <row r="150" spans="1:7" s="40" customFormat="1" ht="22" customHeight="1" x14ac:dyDescent="0.2">
      <c r="A150" s="39" t="s">
        <v>1408</v>
      </c>
      <c r="B150" s="39" t="s">
        <v>1409</v>
      </c>
      <c r="C150" s="197" t="s">
        <v>98</v>
      </c>
      <c r="D150" s="189"/>
      <c r="E150" s="189">
        <v>4</v>
      </c>
      <c r="F150" s="189">
        <v>5</v>
      </c>
      <c r="G150" s="185"/>
    </row>
    <row r="151" spans="1:7" ht="22" customHeight="1" x14ac:dyDescent="0.2">
      <c r="A151" s="35" t="s">
        <v>1410</v>
      </c>
      <c r="B151" s="40" t="s">
        <v>1411</v>
      </c>
      <c r="C151" s="197" t="s">
        <v>98</v>
      </c>
      <c r="D151" s="189"/>
      <c r="E151" s="189">
        <v>4</v>
      </c>
      <c r="F151" s="189">
        <v>5</v>
      </c>
      <c r="G151" s="40"/>
    </row>
    <row r="152" spans="1:7" s="40" customFormat="1" ht="22" customHeight="1" x14ac:dyDescent="0.2">
      <c r="A152" s="39" t="s">
        <v>1412</v>
      </c>
      <c r="B152" s="39" t="s">
        <v>1413</v>
      </c>
      <c r="C152" s="197" t="s">
        <v>98</v>
      </c>
      <c r="D152" s="189"/>
      <c r="E152" s="189">
        <v>4</v>
      </c>
      <c r="F152" s="189">
        <v>5</v>
      </c>
      <c r="G152" s="185"/>
    </row>
    <row r="153" spans="1:7" ht="22" customHeight="1" x14ac:dyDescent="0.2">
      <c r="A153" s="35" t="s">
        <v>1414</v>
      </c>
      <c r="B153" s="40" t="s">
        <v>1415</v>
      </c>
      <c r="C153" s="197" t="s">
        <v>98</v>
      </c>
      <c r="D153" s="189"/>
      <c r="E153" s="189">
        <v>4</v>
      </c>
      <c r="F153" s="189">
        <v>5</v>
      </c>
      <c r="G153" s="40"/>
    </row>
    <row r="154" spans="1:7" s="40" customFormat="1" ht="22" customHeight="1" x14ac:dyDescent="0.2">
      <c r="A154" s="39" t="s">
        <v>1416</v>
      </c>
      <c r="B154" s="39" t="s">
        <v>1417</v>
      </c>
      <c r="C154" s="197" t="s">
        <v>98</v>
      </c>
      <c r="D154" s="189"/>
      <c r="E154" s="189">
        <v>4</v>
      </c>
      <c r="F154" s="189">
        <v>5</v>
      </c>
      <c r="G154" s="185"/>
    </row>
    <row r="155" spans="1:7" ht="22" customHeight="1" x14ac:dyDescent="0.2">
      <c r="A155" s="35" t="s">
        <v>1418</v>
      </c>
      <c r="B155" s="40" t="s">
        <v>1419</v>
      </c>
      <c r="C155" s="197" t="s">
        <v>98</v>
      </c>
      <c r="D155" s="189"/>
      <c r="E155" s="189">
        <v>4</v>
      </c>
      <c r="F155" s="189">
        <v>5</v>
      </c>
      <c r="G155" s="40"/>
    </row>
    <row r="156" spans="1:7" s="40" customFormat="1" ht="22" customHeight="1" x14ac:dyDescent="0.2">
      <c r="A156" s="39" t="s">
        <v>1420</v>
      </c>
      <c r="B156" s="39" t="s">
        <v>1421</v>
      </c>
      <c r="C156" s="197" t="s">
        <v>98</v>
      </c>
      <c r="D156" s="189"/>
      <c r="E156" s="189">
        <v>4</v>
      </c>
      <c r="F156" s="189">
        <v>5</v>
      </c>
      <c r="G156" s="185"/>
    </row>
    <row r="157" spans="1:7" ht="22" customHeight="1" x14ac:dyDescent="0.2">
      <c r="A157" s="35" t="s">
        <v>1422</v>
      </c>
      <c r="B157" s="40" t="s">
        <v>1423</v>
      </c>
      <c r="C157" s="197" t="s">
        <v>98</v>
      </c>
      <c r="D157" s="189"/>
      <c r="E157" s="189">
        <v>4</v>
      </c>
      <c r="F157" s="189">
        <v>5</v>
      </c>
      <c r="G157" s="40"/>
    </row>
    <row r="158" spans="1:7" s="40" customFormat="1" ht="22" customHeight="1" x14ac:dyDescent="0.2">
      <c r="A158" s="39" t="s">
        <v>1424</v>
      </c>
      <c r="B158" s="39" t="s">
        <v>1425</v>
      </c>
      <c r="C158" s="197" t="s">
        <v>98</v>
      </c>
      <c r="D158" s="189"/>
      <c r="E158" s="189">
        <v>4</v>
      </c>
      <c r="F158" s="189">
        <v>5</v>
      </c>
      <c r="G158" s="185"/>
    </row>
    <row r="159" spans="1:7" ht="22" customHeight="1" x14ac:dyDescent="0.2">
      <c r="A159" s="35" t="s">
        <v>1426</v>
      </c>
      <c r="B159" s="40" t="s">
        <v>1427</v>
      </c>
      <c r="C159" s="197" t="s">
        <v>98</v>
      </c>
      <c r="D159" s="189"/>
      <c r="E159" s="189">
        <v>4</v>
      </c>
      <c r="F159" s="189">
        <v>5</v>
      </c>
      <c r="G159" s="40"/>
    </row>
    <row r="160" spans="1:7" s="40" customFormat="1" ht="22" customHeight="1" x14ac:dyDescent="0.2">
      <c r="A160" s="39" t="s">
        <v>1428</v>
      </c>
      <c r="B160" s="32" t="s">
        <v>1531</v>
      </c>
      <c r="C160" s="197" t="s">
        <v>98</v>
      </c>
      <c r="D160" s="189"/>
      <c r="E160" s="189">
        <v>4</v>
      </c>
      <c r="F160" s="189">
        <v>5</v>
      </c>
      <c r="G160" s="185"/>
    </row>
    <row r="161" spans="1:7" ht="22" customHeight="1" x14ac:dyDescent="0.2">
      <c r="A161" s="35" t="s">
        <v>1429</v>
      </c>
      <c r="B161" s="40" t="s">
        <v>1430</v>
      </c>
      <c r="C161" s="197" t="s">
        <v>98</v>
      </c>
      <c r="D161" s="189"/>
      <c r="E161" s="189">
        <v>4</v>
      </c>
      <c r="F161" s="189">
        <v>5</v>
      </c>
      <c r="G161" s="40"/>
    </row>
    <row r="162" spans="1:7" s="40" customFormat="1" ht="22" customHeight="1" x14ac:dyDescent="0.2">
      <c r="A162" s="39" t="s">
        <v>1431</v>
      </c>
      <c r="B162" s="39" t="s">
        <v>1432</v>
      </c>
      <c r="C162" s="197" t="s">
        <v>98</v>
      </c>
      <c r="D162" s="189"/>
      <c r="E162" s="189">
        <v>4</v>
      </c>
      <c r="F162" s="189">
        <v>5</v>
      </c>
      <c r="G162" s="185"/>
    </row>
    <row r="163" spans="1:7" ht="22" customHeight="1" x14ac:dyDescent="0.2">
      <c r="A163" s="35" t="s">
        <v>1433</v>
      </c>
      <c r="B163" s="40" t="s">
        <v>1434</v>
      </c>
      <c r="C163" s="197"/>
      <c r="D163" s="189"/>
      <c r="E163" s="189">
        <v>4</v>
      </c>
      <c r="F163" s="189">
        <v>5</v>
      </c>
      <c r="G163" s="40"/>
    </row>
    <row r="164" spans="1:7" s="40" customFormat="1" ht="22" customHeight="1" x14ac:dyDescent="0.2">
      <c r="A164" s="39" t="s">
        <v>1435</v>
      </c>
      <c r="B164" s="39" t="s">
        <v>1436</v>
      </c>
      <c r="C164" s="197" t="s">
        <v>98</v>
      </c>
      <c r="D164" s="189"/>
      <c r="E164" s="189">
        <v>4</v>
      </c>
      <c r="F164" s="189">
        <v>5</v>
      </c>
      <c r="G164" s="185"/>
    </row>
    <row r="165" spans="1:7" ht="22" customHeight="1" x14ac:dyDescent="0.2">
      <c r="A165" s="35" t="s">
        <v>1437</v>
      </c>
      <c r="B165" s="40" t="s">
        <v>1438</v>
      </c>
      <c r="C165" s="197" t="s">
        <v>98</v>
      </c>
      <c r="D165" s="189"/>
      <c r="E165" s="189">
        <v>4</v>
      </c>
      <c r="F165" s="189">
        <v>5</v>
      </c>
      <c r="G165" s="40"/>
    </row>
    <row r="166" spans="1:7" s="40" customFormat="1" ht="22" customHeight="1" x14ac:dyDescent="0.2">
      <c r="A166" s="39" t="s">
        <v>1439</v>
      </c>
      <c r="B166" s="39" t="s">
        <v>1440</v>
      </c>
      <c r="C166" s="197" t="s">
        <v>98</v>
      </c>
      <c r="D166" s="189"/>
      <c r="E166" s="189">
        <v>4</v>
      </c>
      <c r="F166" s="189">
        <v>5</v>
      </c>
      <c r="G166" s="185"/>
    </row>
    <row r="167" spans="1:7" ht="22" customHeight="1" x14ac:dyDescent="0.2">
      <c r="A167" s="35" t="s">
        <v>1441</v>
      </c>
      <c r="B167" s="40" t="s">
        <v>1442</v>
      </c>
      <c r="C167" s="197" t="s">
        <v>98</v>
      </c>
      <c r="D167" s="189"/>
      <c r="E167" s="189">
        <v>4</v>
      </c>
      <c r="F167" s="189">
        <v>5</v>
      </c>
      <c r="G167" s="40"/>
    </row>
    <row r="168" spans="1:7" s="40" customFormat="1" ht="22" customHeight="1" x14ac:dyDescent="0.2">
      <c r="A168" s="39" t="s">
        <v>1443</v>
      </c>
      <c r="B168" s="39" t="s">
        <v>1444</v>
      </c>
      <c r="C168" s="197" t="s">
        <v>98</v>
      </c>
      <c r="D168" s="189"/>
      <c r="E168" s="189">
        <v>4</v>
      </c>
      <c r="F168" s="189">
        <v>5</v>
      </c>
      <c r="G168" s="185"/>
    </row>
    <row r="169" spans="1:7" ht="22" customHeight="1" x14ac:dyDescent="0.2">
      <c r="A169" s="35" t="s">
        <v>1445</v>
      </c>
      <c r="B169" s="40" t="s">
        <v>1446</v>
      </c>
      <c r="C169" s="197" t="s">
        <v>98</v>
      </c>
      <c r="D169" s="189"/>
      <c r="E169" s="189">
        <v>4</v>
      </c>
      <c r="F169" s="189">
        <v>5</v>
      </c>
      <c r="G169" s="40"/>
    </row>
    <row r="170" spans="1:7" s="40" customFormat="1" ht="22" customHeight="1" x14ac:dyDescent="0.2">
      <c r="A170" s="39" t="s">
        <v>1447</v>
      </c>
      <c r="B170" s="39" t="s">
        <v>1448</v>
      </c>
      <c r="C170" s="197" t="s">
        <v>98</v>
      </c>
      <c r="D170" s="189"/>
      <c r="E170" s="189">
        <v>4</v>
      </c>
      <c r="F170" s="189">
        <v>5</v>
      </c>
      <c r="G170" s="185"/>
    </row>
    <row r="171" spans="1:7" ht="22" customHeight="1" x14ac:dyDescent="0.2">
      <c r="A171" s="35" t="s">
        <v>1449</v>
      </c>
      <c r="B171" s="40" t="s">
        <v>1450</v>
      </c>
      <c r="C171" s="197" t="s">
        <v>98</v>
      </c>
      <c r="D171" s="189"/>
      <c r="E171" s="189">
        <v>4</v>
      </c>
      <c r="F171" s="189">
        <v>5</v>
      </c>
      <c r="G171" s="40"/>
    </row>
    <row r="172" spans="1:7" s="40" customFormat="1" ht="22" customHeight="1" x14ac:dyDescent="0.2">
      <c r="A172" s="39" t="s">
        <v>1451</v>
      </c>
      <c r="B172" s="39" t="s">
        <v>1452</v>
      </c>
      <c r="C172" s="197" t="s">
        <v>98</v>
      </c>
      <c r="D172" s="189"/>
      <c r="E172" s="189">
        <v>4</v>
      </c>
      <c r="F172" s="189">
        <v>5</v>
      </c>
      <c r="G172" s="185"/>
    </row>
    <row r="173" spans="1:7" ht="22" customHeight="1" x14ac:dyDescent="0.2">
      <c r="A173" s="35" t="s">
        <v>1453</v>
      </c>
      <c r="B173" s="40" t="s">
        <v>1454</v>
      </c>
      <c r="C173" s="197" t="s">
        <v>98</v>
      </c>
      <c r="D173" s="189"/>
      <c r="E173" s="189">
        <v>4</v>
      </c>
      <c r="F173" s="189">
        <v>5</v>
      </c>
      <c r="G173" s="40"/>
    </row>
    <row r="174" spans="1:7" s="40" customFormat="1" ht="22" customHeight="1" x14ac:dyDescent="0.2">
      <c r="A174" s="39" t="s">
        <v>1455</v>
      </c>
      <c r="B174" s="32" t="s">
        <v>1532</v>
      </c>
      <c r="C174" s="197" t="s">
        <v>98</v>
      </c>
      <c r="D174" s="189"/>
      <c r="E174" s="189">
        <v>4</v>
      </c>
      <c r="F174" s="189">
        <v>5</v>
      </c>
      <c r="G174" s="185"/>
    </row>
    <row r="175" spans="1:7" ht="22" customHeight="1" x14ac:dyDescent="0.2">
      <c r="A175" s="35" t="s">
        <v>1456</v>
      </c>
      <c r="B175" s="40" t="s">
        <v>1534</v>
      </c>
      <c r="C175" s="197" t="s">
        <v>98</v>
      </c>
      <c r="D175" s="189"/>
      <c r="E175" s="189">
        <v>4</v>
      </c>
      <c r="F175" s="189">
        <v>5</v>
      </c>
      <c r="G175" s="40"/>
    </row>
    <row r="176" spans="1:7" s="40" customFormat="1" ht="22" customHeight="1" x14ac:dyDescent="0.2">
      <c r="A176" s="39" t="s">
        <v>1457</v>
      </c>
      <c r="B176" s="39" t="s">
        <v>1458</v>
      </c>
      <c r="C176" s="197" t="s">
        <v>98</v>
      </c>
      <c r="D176" s="189"/>
      <c r="E176" s="189">
        <v>4</v>
      </c>
      <c r="F176" s="189">
        <v>5</v>
      </c>
      <c r="G176" s="185"/>
    </row>
    <row r="177" spans="1:9" ht="22" customHeight="1" x14ac:dyDescent="0.2">
      <c r="A177" s="35" t="s">
        <v>1459</v>
      </c>
      <c r="B177" s="40" t="s">
        <v>1460</v>
      </c>
      <c r="C177" s="197" t="s">
        <v>364</v>
      </c>
      <c r="D177" s="189"/>
      <c r="E177" s="189">
        <v>4</v>
      </c>
      <c r="F177" s="189">
        <v>5</v>
      </c>
      <c r="G177" s="40" t="s">
        <v>1535</v>
      </c>
    </row>
    <row r="178" spans="1:9" s="40" customFormat="1" ht="22" customHeight="1" x14ac:dyDescent="0.2">
      <c r="A178" s="39" t="s">
        <v>1461</v>
      </c>
      <c r="B178" s="39" t="s">
        <v>1462</v>
      </c>
      <c r="C178" s="197" t="s">
        <v>364</v>
      </c>
      <c r="D178" s="189"/>
      <c r="E178" s="189">
        <v>4</v>
      </c>
      <c r="F178" s="189">
        <v>5</v>
      </c>
      <c r="G178" s="40" t="s">
        <v>1535</v>
      </c>
    </row>
    <row r="179" spans="1:9" ht="22" customHeight="1" x14ac:dyDescent="0.2">
      <c r="A179" s="35" t="s">
        <v>1463</v>
      </c>
      <c r="B179" s="40" t="s">
        <v>1464</v>
      </c>
      <c r="C179" s="197" t="s">
        <v>364</v>
      </c>
      <c r="D179" s="189"/>
      <c r="E179" s="189">
        <v>4</v>
      </c>
      <c r="F179" s="189">
        <v>5</v>
      </c>
      <c r="G179" s="40" t="s">
        <v>1535</v>
      </c>
    </row>
    <row r="180" spans="1:9" s="40" customFormat="1" ht="22" customHeight="1" x14ac:dyDescent="0.2">
      <c r="A180" s="39" t="s">
        <v>1465</v>
      </c>
      <c r="B180" s="39" t="s">
        <v>1466</v>
      </c>
      <c r="C180" s="197" t="s">
        <v>98</v>
      </c>
      <c r="D180" s="189"/>
      <c r="E180" s="189">
        <v>4</v>
      </c>
      <c r="F180" s="189">
        <v>5</v>
      </c>
      <c r="G180" s="185"/>
    </row>
    <row r="181" spans="1:9" s="65" customFormat="1" ht="22" customHeight="1" x14ac:dyDescent="0.2">
      <c r="A181" s="35" t="s">
        <v>1467</v>
      </c>
      <c r="B181" s="40" t="s">
        <v>1468</v>
      </c>
      <c r="C181" s="197" t="s">
        <v>98</v>
      </c>
      <c r="D181" s="189"/>
      <c r="E181" s="189">
        <v>4</v>
      </c>
      <c r="F181" s="189">
        <v>5</v>
      </c>
      <c r="G181" s="40"/>
    </row>
    <row r="182" spans="1:9" ht="22" customHeight="1" x14ac:dyDescent="0.2">
      <c r="A182" s="39" t="s">
        <v>1469</v>
      </c>
      <c r="B182" s="39" t="s">
        <v>1470</v>
      </c>
      <c r="C182" s="197" t="s">
        <v>98</v>
      </c>
      <c r="D182" s="189"/>
      <c r="E182" s="189">
        <v>4</v>
      </c>
      <c r="F182" s="189">
        <v>5</v>
      </c>
    </row>
    <row r="183" spans="1:9" s="40" customFormat="1" ht="22" customHeight="1" x14ac:dyDescent="0.2">
      <c r="A183" s="35" t="s">
        <v>1471</v>
      </c>
      <c r="B183" s="40" t="s">
        <v>1472</v>
      </c>
      <c r="C183" s="197" t="s">
        <v>98</v>
      </c>
      <c r="D183" s="189"/>
      <c r="E183" s="189">
        <v>4</v>
      </c>
      <c r="F183" s="189">
        <v>5</v>
      </c>
    </row>
    <row r="184" spans="1:9" ht="22" customHeight="1" x14ac:dyDescent="0.2">
      <c r="A184" s="65" t="s">
        <v>1473</v>
      </c>
      <c r="B184" s="65"/>
      <c r="C184" s="65"/>
      <c r="D184" s="65"/>
      <c r="E184" s="65"/>
      <c r="F184" s="65"/>
      <c r="G184" s="65"/>
    </row>
    <row r="185" spans="1:9" s="40" customFormat="1" ht="22" customHeight="1" x14ac:dyDescent="0.2">
      <c r="A185" s="39" t="s">
        <v>1474</v>
      </c>
      <c r="B185" s="39" t="s">
        <v>1475</v>
      </c>
      <c r="C185" s="197" t="s">
        <v>98</v>
      </c>
      <c r="D185" s="189"/>
      <c r="E185" s="189">
        <v>4</v>
      </c>
      <c r="F185" s="189">
        <v>5</v>
      </c>
      <c r="G185" s="40" t="s">
        <v>31</v>
      </c>
    </row>
    <row r="186" spans="1:9" ht="22" customHeight="1" x14ac:dyDescent="0.2">
      <c r="A186" s="35" t="s">
        <v>1476</v>
      </c>
      <c r="B186" s="40" t="s">
        <v>1477</v>
      </c>
      <c r="C186" s="197" t="s">
        <v>98</v>
      </c>
      <c r="D186" s="189"/>
      <c r="E186" s="189">
        <v>4</v>
      </c>
      <c r="F186" s="189">
        <v>5</v>
      </c>
      <c r="G186" s="40"/>
    </row>
    <row r="187" spans="1:9" s="40" customFormat="1" ht="22" customHeight="1" x14ac:dyDescent="0.2">
      <c r="A187" s="39" t="s">
        <v>1478</v>
      </c>
      <c r="B187" s="39" t="s">
        <v>1479</v>
      </c>
      <c r="C187" s="197" t="s">
        <v>98</v>
      </c>
      <c r="D187" s="189"/>
      <c r="E187" s="189">
        <v>4</v>
      </c>
      <c r="F187" s="189">
        <v>5</v>
      </c>
      <c r="G187" s="185"/>
    </row>
    <row r="188" spans="1:9" hidden="1" x14ac:dyDescent="0.2">
      <c r="A188" s="35" t="s">
        <v>1480</v>
      </c>
      <c r="B188" s="40" t="s">
        <v>1481</v>
      </c>
      <c r="C188" s="197"/>
      <c r="D188" s="189"/>
      <c r="E188" s="189">
        <v>4</v>
      </c>
      <c r="F188" s="189">
        <v>5</v>
      </c>
      <c r="G188" s="40"/>
    </row>
    <row r="189" spans="1:9" hidden="1" x14ac:dyDescent="0.2">
      <c r="A189" s="39" t="s">
        <v>1482</v>
      </c>
      <c r="B189" s="39" t="s">
        <v>1483</v>
      </c>
      <c r="C189" s="197"/>
      <c r="D189" s="189"/>
      <c r="E189" s="189">
        <v>4</v>
      </c>
      <c r="F189" s="189">
        <v>5</v>
      </c>
    </row>
    <row r="190" spans="1:9" hidden="1" x14ac:dyDescent="0.2">
      <c r="A190" s="35" t="s">
        <v>1484</v>
      </c>
      <c r="B190" s="40" t="s">
        <v>1485</v>
      </c>
      <c r="C190" s="197"/>
      <c r="D190" s="189"/>
      <c r="E190" s="189">
        <v>4</v>
      </c>
      <c r="F190" s="189">
        <v>5</v>
      </c>
      <c r="G190" s="40"/>
    </row>
    <row r="191" spans="1:9" hidden="1" x14ac:dyDescent="0.2"/>
    <row r="192" spans="1:9" hidden="1" x14ac:dyDescent="0.2">
      <c r="H192" s="7"/>
      <c r="I192" s="7"/>
    </row>
    <row r="193" spans="2:9" hidden="1" x14ac:dyDescent="0.2">
      <c r="H193" s="20"/>
      <c r="I193" s="20"/>
    </row>
    <row r="194" spans="2:9" hidden="1" x14ac:dyDescent="0.2">
      <c r="H194" s="20"/>
      <c r="I194" s="20"/>
    </row>
    <row r="195" spans="2:9" hidden="1" x14ac:dyDescent="0.2">
      <c r="B195" s="177" t="s">
        <v>165</v>
      </c>
      <c r="C195" s="177" t="str">
        <f>C28</f>
        <v>Level 5 - Optimized</v>
      </c>
      <c r="D195" s="177">
        <f>D28</f>
        <v>0</v>
      </c>
      <c r="E195" s="177">
        <f>E28</f>
        <v>4</v>
      </c>
      <c r="F195" s="177">
        <f>F28</f>
        <v>5</v>
      </c>
      <c r="G195" s="177"/>
      <c r="H195" s="20"/>
      <c r="I195" s="20"/>
    </row>
    <row r="196" spans="2:9" hidden="1" x14ac:dyDescent="0.2">
      <c r="B196" s="32" t="str">
        <f>A4</f>
        <v>4.1 - Security Information and Event Management</v>
      </c>
      <c r="C196" s="190">
        <f>SUM(C5:C23)</f>
        <v>0</v>
      </c>
      <c r="D196" s="190">
        <f>SUM(D5:D23)</f>
        <v>0</v>
      </c>
      <c r="E196" s="190">
        <f>SUM(E5:E23)</f>
        <v>76</v>
      </c>
      <c r="F196" s="190">
        <f>SUM(F5:F23)</f>
        <v>95</v>
      </c>
      <c r="G196" s="190"/>
      <c r="H196" s="20"/>
      <c r="I196" s="20"/>
    </row>
    <row r="197" spans="2:9" hidden="1" x14ac:dyDescent="0.2">
      <c r="B197" s="32" t="str">
        <f>A27</f>
        <v>4.2 - Intelligence Correlation</v>
      </c>
      <c r="C197" s="190">
        <f>SUM(C28:C36)</f>
        <v>0</v>
      </c>
      <c r="D197" s="190">
        <f>SUM(D28:D36)</f>
        <v>0</v>
      </c>
      <c r="E197" s="190">
        <f>SUM(E28:E36)</f>
        <v>36</v>
      </c>
      <c r="F197" s="190">
        <f>SUM(F28:F36)</f>
        <v>45</v>
      </c>
      <c r="G197" s="190"/>
      <c r="H197" s="20"/>
      <c r="I197" s="20"/>
    </row>
    <row r="198" spans="2:9" hidden="1" x14ac:dyDescent="0.2">
      <c r="B198" s="32" t="str">
        <f>A37</f>
        <v>4.3 - Architecture</v>
      </c>
      <c r="C198" s="190">
        <f>SUM(C38:C59)</f>
        <v>0</v>
      </c>
      <c r="D198" s="190">
        <f>SUM(D38:D59)</f>
        <v>0</v>
      </c>
      <c r="E198" s="190">
        <f>SUM(E38:E59)</f>
        <v>88</v>
      </c>
      <c r="F198" s="190">
        <f>SUM(F38:F59)</f>
        <v>110</v>
      </c>
      <c r="G198" s="190"/>
      <c r="H198" s="20"/>
      <c r="I198" s="20"/>
    </row>
    <row r="199" spans="2:9" hidden="1" x14ac:dyDescent="0.2">
      <c r="B199" s="32" t="str">
        <f>A64</f>
        <v>4.4 - Correlation</v>
      </c>
      <c r="C199" s="190">
        <f>SUM(C65:C102)</f>
        <v>0</v>
      </c>
      <c r="D199" s="190">
        <f t="shared" ref="D199:F199" si="0">SUM(D65:D102)</f>
        <v>0</v>
      </c>
      <c r="E199" s="190">
        <f t="shared" si="0"/>
        <v>152</v>
      </c>
      <c r="F199" s="190">
        <f t="shared" si="0"/>
        <v>190</v>
      </c>
      <c r="G199" s="190"/>
      <c r="H199" s="74"/>
      <c r="I199" s="74"/>
    </row>
    <row r="200" spans="2:9" ht="16" hidden="1" thickBot="1" x14ac:dyDescent="0.25">
      <c r="B200" s="32" t="str">
        <f>A104</f>
        <v>4.5 - Reporting</v>
      </c>
      <c r="C200" s="190">
        <f>SUM(C105:C134)</f>
        <v>0</v>
      </c>
      <c r="D200" s="190">
        <f t="shared" ref="D200:F200" si="1">SUM(D105:D134)</f>
        <v>0</v>
      </c>
      <c r="E200" s="190">
        <f t="shared" si="1"/>
        <v>120</v>
      </c>
      <c r="F200" s="190">
        <f t="shared" si="1"/>
        <v>150</v>
      </c>
      <c r="G200" s="190"/>
      <c r="H200" s="47"/>
      <c r="I200" s="47"/>
    </row>
    <row r="201" spans="2:9" hidden="1" x14ac:dyDescent="0.2">
      <c r="B201" s="32" t="str">
        <f>A135</f>
        <v>4.6 - SOC Engineering</v>
      </c>
      <c r="C201" s="190">
        <f>SUM(C136:C183)</f>
        <v>0</v>
      </c>
      <c r="D201" s="190">
        <f t="shared" ref="D201:F201" si="2">SUM(D136:D183)</f>
        <v>0</v>
      </c>
      <c r="E201" s="190">
        <f t="shared" si="2"/>
        <v>192</v>
      </c>
      <c r="F201" s="190">
        <f t="shared" si="2"/>
        <v>240</v>
      </c>
      <c r="G201" s="190"/>
      <c r="H201" s="6"/>
      <c r="I201" s="6"/>
    </row>
    <row r="202" spans="2:9" hidden="1" x14ac:dyDescent="0.2">
      <c r="B202" s="44" t="str">
        <f>A184</f>
        <v>4.7 - SOC Information Lifecycle Management</v>
      </c>
      <c r="C202" s="190">
        <f>SUM(C185:C190)</f>
        <v>0</v>
      </c>
      <c r="D202" s="190">
        <f t="shared" ref="D202:F202" si="3">SUM(D185:D190)</f>
        <v>0</v>
      </c>
      <c r="E202" s="190">
        <f t="shared" si="3"/>
        <v>24</v>
      </c>
      <c r="F202" s="190">
        <f t="shared" si="3"/>
        <v>30</v>
      </c>
      <c r="G202" s="191"/>
      <c r="H202" s="6"/>
      <c r="I202" s="6"/>
    </row>
    <row r="203" spans="2:9" ht="16" hidden="1" thickBot="1" x14ac:dyDescent="0.25">
      <c r="B203" s="179" t="s">
        <v>166</v>
      </c>
      <c r="C203" s="192">
        <f>SUM(C196:C202)</f>
        <v>0</v>
      </c>
      <c r="D203" s="192">
        <f t="shared" ref="D203:F203" si="4">SUM(D196:D202)</f>
        <v>0</v>
      </c>
      <c r="E203" s="192">
        <f t="shared" si="4"/>
        <v>688</v>
      </c>
      <c r="F203" s="192">
        <f t="shared" si="4"/>
        <v>860</v>
      </c>
      <c r="G203" s="192"/>
      <c r="H203" s="7"/>
      <c r="I203" s="7"/>
    </row>
    <row r="204" spans="2:9" hidden="1" x14ac:dyDescent="0.2">
      <c r="B204" s="180"/>
      <c r="C204"/>
      <c r="D204"/>
      <c r="E204"/>
      <c r="F204"/>
      <c r="G204"/>
      <c r="H204" s="21"/>
      <c r="I204" s="14"/>
    </row>
    <row r="205" spans="2:9" hidden="1" x14ac:dyDescent="0.2">
      <c r="B205" s="180"/>
      <c r="C205"/>
      <c r="D205"/>
      <c r="E205"/>
      <c r="F205"/>
      <c r="G205"/>
      <c r="H205" s="21"/>
      <c r="I205" s="14"/>
    </row>
    <row r="206" spans="2:9" hidden="1" x14ac:dyDescent="0.2">
      <c r="B206" s="177" t="s">
        <v>167</v>
      </c>
      <c r="C206" s="177" t="str">
        <f>C195</f>
        <v>Level 5 - Optimized</v>
      </c>
      <c r="D206" s="177">
        <f t="shared" ref="D206:F206" si="5">D195</f>
        <v>0</v>
      </c>
      <c r="E206" s="177">
        <f t="shared" si="5"/>
        <v>4</v>
      </c>
      <c r="F206" s="177">
        <f t="shared" si="5"/>
        <v>5</v>
      </c>
      <c r="G206" s="177"/>
      <c r="H206" s="21"/>
      <c r="I206" s="14"/>
    </row>
    <row r="207" spans="2:9" hidden="1" x14ac:dyDescent="0.2">
      <c r="B207" s="32" t="str">
        <f>B196</f>
        <v>4.1 - Security Information and Event Management</v>
      </c>
      <c r="C207" s="193">
        <f>C196/$F196</f>
        <v>0</v>
      </c>
      <c r="D207" s="193">
        <f t="shared" ref="D207:F207" si="6">D196/$F196</f>
        <v>0</v>
      </c>
      <c r="E207" s="193">
        <f t="shared" si="6"/>
        <v>0.8</v>
      </c>
      <c r="F207" s="193">
        <f t="shared" si="6"/>
        <v>1</v>
      </c>
      <c r="G207" s="193"/>
      <c r="H207" s="21"/>
      <c r="I207" s="14"/>
    </row>
    <row r="208" spans="2:9" hidden="1" x14ac:dyDescent="0.2">
      <c r="B208" s="32" t="str">
        <f t="shared" ref="B208:B214" si="7">B197</f>
        <v>4.2 - Intelligence Correlation</v>
      </c>
      <c r="C208" s="193">
        <f t="shared" ref="C208:F208" si="8">C197/$F197</f>
        <v>0</v>
      </c>
      <c r="D208" s="193">
        <f t="shared" si="8"/>
        <v>0</v>
      </c>
      <c r="E208" s="193">
        <f t="shared" si="8"/>
        <v>0.8</v>
      </c>
      <c r="F208" s="193">
        <f t="shared" si="8"/>
        <v>1</v>
      </c>
      <c r="G208" s="193"/>
      <c r="H208" s="21"/>
      <c r="I208" s="14"/>
    </row>
    <row r="209" spans="1:9" hidden="1" x14ac:dyDescent="0.2">
      <c r="B209" s="32" t="str">
        <f t="shared" si="7"/>
        <v>4.3 - Architecture</v>
      </c>
      <c r="C209" s="193">
        <f t="shared" ref="C209:F209" si="9">C198/$F198</f>
        <v>0</v>
      </c>
      <c r="D209" s="193">
        <f t="shared" si="9"/>
        <v>0</v>
      </c>
      <c r="E209" s="193">
        <f t="shared" si="9"/>
        <v>0.8</v>
      </c>
      <c r="F209" s="193">
        <f t="shared" si="9"/>
        <v>1</v>
      </c>
      <c r="G209" s="193"/>
      <c r="H209" s="21"/>
      <c r="I209" s="14"/>
    </row>
    <row r="210" spans="1:9" hidden="1" x14ac:dyDescent="0.2">
      <c r="B210" s="32" t="str">
        <f t="shared" si="7"/>
        <v>4.4 - Correlation</v>
      </c>
      <c r="C210" s="193">
        <f t="shared" ref="C210:F210" si="10">C199/$F199</f>
        <v>0</v>
      </c>
      <c r="D210" s="193">
        <f t="shared" si="10"/>
        <v>0</v>
      </c>
      <c r="E210" s="193">
        <f t="shared" si="10"/>
        <v>0.8</v>
      </c>
      <c r="F210" s="193">
        <f t="shared" si="10"/>
        <v>1</v>
      </c>
      <c r="G210" s="193"/>
    </row>
    <row r="211" spans="1:9" hidden="1" x14ac:dyDescent="0.2">
      <c r="B211" s="32" t="str">
        <f t="shared" si="7"/>
        <v>4.5 - Reporting</v>
      </c>
      <c r="C211" s="193">
        <f t="shared" ref="C211:F211" si="11">C200/$F200</f>
        <v>0</v>
      </c>
      <c r="D211" s="193">
        <f t="shared" si="11"/>
        <v>0</v>
      </c>
      <c r="E211" s="193">
        <f t="shared" si="11"/>
        <v>0.8</v>
      </c>
      <c r="F211" s="193">
        <f t="shared" si="11"/>
        <v>1</v>
      </c>
      <c r="G211" s="193"/>
    </row>
    <row r="212" spans="1:9" s="65" customFormat="1" ht="22" customHeight="1" x14ac:dyDescent="0.2">
      <c r="A212" s="185"/>
      <c r="B212" s="32" t="str">
        <f t="shared" si="7"/>
        <v>4.6 - SOC Engineering</v>
      </c>
      <c r="C212" s="193">
        <f>C201/$F201</f>
        <v>0</v>
      </c>
      <c r="D212" s="193">
        <f t="shared" ref="D212:F212" si="12">D201/$F201</f>
        <v>0</v>
      </c>
      <c r="E212" s="193">
        <f t="shared" si="12"/>
        <v>0.8</v>
      </c>
      <c r="F212" s="193">
        <f t="shared" si="12"/>
        <v>1</v>
      </c>
      <c r="G212" s="193"/>
    </row>
    <row r="213" spans="1:9" x14ac:dyDescent="0.2">
      <c r="B213" s="32" t="str">
        <f t="shared" si="7"/>
        <v>4.7 - SOC Information Lifecycle Management</v>
      </c>
      <c r="C213" s="193">
        <f t="shared" ref="C213:F213" si="13">C202/$F202</f>
        <v>0</v>
      </c>
      <c r="D213" s="193">
        <f t="shared" si="13"/>
        <v>0</v>
      </c>
      <c r="E213" s="193">
        <f t="shared" si="13"/>
        <v>0.8</v>
      </c>
      <c r="F213" s="193">
        <f t="shared" si="13"/>
        <v>1</v>
      </c>
    </row>
    <row r="214" spans="1:9" x14ac:dyDescent="0.2">
      <c r="B214" s="32" t="str">
        <f t="shared" si="7"/>
        <v>TOTAL</v>
      </c>
      <c r="C214" s="193">
        <f t="shared" ref="C214:F214" si="14">C203/$F203</f>
        <v>0</v>
      </c>
      <c r="D214" s="193">
        <f t="shared" si="14"/>
        <v>0</v>
      </c>
      <c r="E214" s="193">
        <f t="shared" si="14"/>
        <v>0.8</v>
      </c>
      <c r="F214" s="193">
        <f t="shared" si="14"/>
        <v>1</v>
      </c>
    </row>
    <row r="215" spans="1:9" x14ac:dyDescent="0.2">
      <c r="A215" s="65" t="s">
        <v>1486</v>
      </c>
      <c r="B215" s="65"/>
      <c r="C215" s="65"/>
      <c r="D215" s="65"/>
      <c r="E215" s="65"/>
      <c r="F215" s="65"/>
      <c r="G215" s="65"/>
    </row>
    <row r="216" spans="1:9" x14ac:dyDescent="0.2">
      <c r="A216" s="39" t="s">
        <v>1487</v>
      </c>
      <c r="B216" s="39" t="s">
        <v>1488</v>
      </c>
      <c r="C216" s="197" t="s">
        <v>98</v>
      </c>
      <c r="D216" s="189"/>
      <c r="E216" s="189"/>
    </row>
    <row r="217" spans="1:9" x14ac:dyDescent="0.2">
      <c r="A217" s="39" t="s">
        <v>1489</v>
      </c>
      <c r="B217" s="39" t="s">
        <v>1490</v>
      </c>
      <c r="C217" s="197" t="s">
        <v>79</v>
      </c>
      <c r="D217" s="189"/>
      <c r="E217" s="189"/>
    </row>
    <row r="218" spans="1:9" x14ac:dyDescent="0.2">
      <c r="A218" s="39" t="s">
        <v>1491</v>
      </c>
      <c r="B218" s="39" t="s">
        <v>1492</v>
      </c>
      <c r="C218" s="197" t="s">
        <v>98</v>
      </c>
      <c r="D218" s="189"/>
      <c r="E218" s="189"/>
    </row>
    <row r="219" spans="1:9" x14ac:dyDescent="0.2">
      <c r="A219" s="39" t="s">
        <v>1493</v>
      </c>
      <c r="B219" s="39" t="s">
        <v>1494</v>
      </c>
      <c r="C219" s="197" t="s">
        <v>364</v>
      </c>
      <c r="D219" s="189"/>
      <c r="E219" s="189"/>
    </row>
    <row r="220" spans="1:9" x14ac:dyDescent="0.2">
      <c r="A220" s="39" t="s">
        <v>1495</v>
      </c>
      <c r="B220" s="39" t="s">
        <v>1496</v>
      </c>
      <c r="C220" s="197" t="s">
        <v>98</v>
      </c>
      <c r="D220" s="189"/>
      <c r="E220" s="189"/>
    </row>
    <row r="221" spans="1:9" s="65" customFormat="1" ht="22" customHeight="1" x14ac:dyDescent="0.2">
      <c r="A221" s="39" t="s">
        <v>1497</v>
      </c>
      <c r="B221" s="39" t="s">
        <v>1498</v>
      </c>
      <c r="C221" s="197" t="s">
        <v>98</v>
      </c>
      <c r="D221" s="189"/>
      <c r="E221" s="189"/>
      <c r="F221" s="185"/>
      <c r="G221" s="185"/>
    </row>
    <row r="222" spans="1:9" ht="23.25" customHeight="1" x14ac:dyDescent="0.2">
      <c r="A222" s="39" t="s">
        <v>1499</v>
      </c>
      <c r="B222" s="39" t="s">
        <v>1500</v>
      </c>
      <c r="C222" s="197" t="s">
        <v>364</v>
      </c>
      <c r="D222" s="189"/>
      <c r="E222" s="189"/>
      <c r="G222" s="40" t="s">
        <v>1536</v>
      </c>
    </row>
    <row r="223" spans="1:9" ht="23.25" customHeight="1" x14ac:dyDescent="0.2">
      <c r="A223" s="39" t="s">
        <v>1501</v>
      </c>
      <c r="B223" s="39" t="s">
        <v>1502</v>
      </c>
      <c r="C223" s="197" t="s">
        <v>364</v>
      </c>
      <c r="D223" s="189"/>
      <c r="E223" s="189"/>
      <c r="G223" s="40" t="s">
        <v>1537</v>
      </c>
    </row>
    <row r="224" spans="1:9" ht="23.25" customHeight="1" x14ac:dyDescent="0.2">
      <c r="A224" s="65" t="s">
        <v>1503</v>
      </c>
      <c r="B224" s="65"/>
      <c r="C224" s="65"/>
      <c r="D224" s="65"/>
      <c r="E224" s="65"/>
      <c r="F224" s="65"/>
      <c r="G224" s="65"/>
    </row>
    <row r="225" spans="1:5" ht="23.25" customHeight="1" x14ac:dyDescent="0.2">
      <c r="A225" s="39" t="s">
        <v>1504</v>
      </c>
      <c r="B225" s="39" t="s">
        <v>1505</v>
      </c>
      <c r="C225" s="197" t="s">
        <v>79</v>
      </c>
      <c r="D225" s="189"/>
      <c r="E225" s="189"/>
    </row>
    <row r="226" spans="1:5" ht="23.25" customHeight="1" x14ac:dyDescent="0.2">
      <c r="A226" s="39" t="s">
        <v>1506</v>
      </c>
      <c r="B226" s="39" t="s">
        <v>1507</v>
      </c>
      <c r="C226" s="197" t="s">
        <v>79</v>
      </c>
      <c r="D226" s="189"/>
      <c r="E226" s="189"/>
    </row>
    <row r="227" spans="1:5" ht="23.25" customHeight="1" x14ac:dyDescent="0.2">
      <c r="A227" s="39" t="s">
        <v>1508</v>
      </c>
      <c r="B227" s="39" t="s">
        <v>1509</v>
      </c>
      <c r="C227" s="197" t="s">
        <v>79</v>
      </c>
      <c r="D227" s="189"/>
      <c r="E227" s="189"/>
    </row>
    <row r="228" spans="1:5" ht="24" x14ac:dyDescent="0.2">
      <c r="A228" s="39" t="s">
        <v>1510</v>
      </c>
      <c r="B228" s="39" t="s">
        <v>1511</v>
      </c>
      <c r="C228" s="197" t="s">
        <v>373</v>
      </c>
      <c r="D228" s="189"/>
      <c r="E228" s="189"/>
    </row>
    <row r="229" spans="1:5" x14ac:dyDescent="0.2">
      <c r="A229" s="39" t="s">
        <v>1512</v>
      </c>
      <c r="B229" s="39" t="s">
        <v>1513</v>
      </c>
      <c r="C229" s="197" t="s">
        <v>79</v>
      </c>
      <c r="D229" s="189"/>
    </row>
    <row r="230" spans="1:5" x14ac:dyDescent="0.2">
      <c r="A230" s="39" t="s">
        <v>1514</v>
      </c>
      <c r="B230" s="39" t="s">
        <v>1515</v>
      </c>
      <c r="C230" s="197" t="s">
        <v>373</v>
      </c>
      <c r="D230" s="189"/>
    </row>
    <row r="231" spans="1:5" x14ac:dyDescent="0.2">
      <c r="A231" s="39" t="s">
        <v>1516</v>
      </c>
      <c r="B231" s="39" t="s">
        <v>1517</v>
      </c>
      <c r="C231" s="197" t="s">
        <v>98</v>
      </c>
      <c r="D231" s="189"/>
    </row>
    <row r="232" spans="1:5" x14ac:dyDescent="0.2">
      <c r="C232" s="197"/>
      <c r="D232" s="189"/>
    </row>
    <row r="233" spans="1:5" x14ac:dyDescent="0.2">
      <c r="C233" s="197"/>
      <c r="D233" s="189"/>
    </row>
    <row r="234" spans="1:5" x14ac:dyDescent="0.2">
      <c r="C234" s="197"/>
      <c r="D234" s="189"/>
    </row>
    <row r="235" spans="1:5" x14ac:dyDescent="0.2">
      <c r="C235" s="197"/>
    </row>
    <row r="236" spans="1:5" x14ac:dyDescent="0.2">
      <c r="C236" s="197"/>
    </row>
  </sheetData>
  <sheetProtection formatCells="0" formatColumns="0" formatRows="0" insertColumns="0" insertRows="0" insertHyperlinks="0" deleteColumns="0" deleteRows="0" selectLockedCells="1" sort="0" autoFilter="0" pivotTables="0"/>
  <mergeCells count="1">
    <mergeCell ref="H5:I5"/>
  </mergeCells>
  <phoneticPr fontId="7" type="noConversion"/>
  <conditionalFormatting sqref="C5:C26 C38:C63 C136:C183">
    <cfRule type="cellIs" dxfId="188" priority="60" operator="equal">
      <formula>"Level 0 - Does not exist"</formula>
    </cfRule>
    <cfRule type="cellIs" dxfId="187" priority="59" operator="equal">
      <formula>"Level 1 - Initial"</formula>
    </cfRule>
    <cfRule type="cellIs" dxfId="186" priority="58" operator="equal">
      <formula>"Level 2 - Repeatable"</formula>
    </cfRule>
    <cfRule type="cellIs" dxfId="185" priority="57" operator="equal">
      <formula>"Level 3 - Defined"</formula>
    </cfRule>
    <cfRule type="cellIs" dxfId="184" priority="56" operator="equal">
      <formula>"Level 4 - Managed"</formula>
    </cfRule>
    <cfRule type="cellIs" dxfId="183" priority="55" operator="equal">
      <formula>"Level 5 - Optimized"</formula>
    </cfRule>
  </conditionalFormatting>
  <conditionalFormatting sqref="C28:C36">
    <cfRule type="cellIs" dxfId="182" priority="54" operator="equal">
      <formula>"Level 0 - Does not exist"</formula>
    </cfRule>
    <cfRule type="cellIs" dxfId="181" priority="49" operator="equal">
      <formula>"Level 5 - Optimized"</formula>
    </cfRule>
    <cfRule type="cellIs" dxfId="180" priority="50" operator="equal">
      <formula>"Level 4 - Managed"</formula>
    </cfRule>
    <cfRule type="cellIs" dxfId="179" priority="51" operator="equal">
      <formula>"Level 3 - Defined"</formula>
    </cfRule>
    <cfRule type="cellIs" dxfId="178" priority="52" operator="equal">
      <formula>"Level 2 - Repeatable"</formula>
    </cfRule>
    <cfRule type="cellIs" dxfId="177" priority="53" operator="equal">
      <formula>"Level 1 - Initial"</formula>
    </cfRule>
  </conditionalFormatting>
  <conditionalFormatting sqref="C65:C103">
    <cfRule type="cellIs" dxfId="176" priority="1" operator="equal">
      <formula>"Level 5 - Optimized"</formula>
    </cfRule>
    <cfRule type="cellIs" dxfId="175" priority="6" operator="equal">
      <formula>"Level 0 - Does not exist"</formula>
    </cfRule>
    <cfRule type="cellIs" dxfId="174" priority="5" operator="equal">
      <formula>"Level 1 - Initial"</formula>
    </cfRule>
    <cfRule type="cellIs" dxfId="173" priority="4" operator="equal">
      <formula>"Level 2 - Repeatable"</formula>
    </cfRule>
    <cfRule type="cellIs" dxfId="172" priority="3" operator="equal">
      <formula>"Level 3 - Defined"</formula>
    </cfRule>
    <cfRule type="cellIs" dxfId="171" priority="2" operator="equal">
      <formula>"Level 4 - Managed"</formula>
    </cfRule>
  </conditionalFormatting>
  <conditionalFormatting sqref="C105:C134">
    <cfRule type="cellIs" dxfId="170" priority="36" operator="equal">
      <formula>"Level 0 - Does not exist"</formula>
    </cfRule>
    <cfRule type="cellIs" dxfId="169" priority="35" operator="equal">
      <formula>"Level 1 - Initial"</formula>
    </cfRule>
    <cfRule type="cellIs" dxfId="168" priority="34" operator="equal">
      <formula>"Level 2 - Repeatable"</formula>
    </cfRule>
    <cfRule type="cellIs" dxfId="167" priority="33" operator="equal">
      <formula>"Level 3 - Defined"</formula>
    </cfRule>
    <cfRule type="cellIs" dxfId="166" priority="32" operator="equal">
      <formula>"Level 4 - Managed"</formula>
    </cfRule>
    <cfRule type="cellIs" dxfId="165" priority="31" operator="equal">
      <formula>"Level 5 - Optimized"</formula>
    </cfRule>
  </conditionalFormatting>
  <conditionalFormatting sqref="C185:C190">
    <cfRule type="cellIs" dxfId="164" priority="24" operator="equal">
      <formula>"Level 0 - Does not exist"</formula>
    </cfRule>
    <cfRule type="cellIs" dxfId="163" priority="23" operator="equal">
      <formula>"Level 1 - Initial"</formula>
    </cfRule>
    <cfRule type="cellIs" dxfId="162" priority="22" operator="equal">
      <formula>"Level 2 - Repeatable"</formula>
    </cfRule>
    <cfRule type="cellIs" dxfId="161" priority="21" operator="equal">
      <formula>"Level 3 - Defined"</formula>
    </cfRule>
    <cfRule type="cellIs" dxfId="160" priority="20" operator="equal">
      <formula>"Level 4 - Managed"</formula>
    </cfRule>
    <cfRule type="cellIs" dxfId="159" priority="19" operator="equal">
      <formula>"Level 5 - Optimized"</formula>
    </cfRule>
  </conditionalFormatting>
  <conditionalFormatting sqref="C216:C223">
    <cfRule type="cellIs" dxfId="158" priority="18" operator="equal">
      <formula>"Level 0 - Does not exist"</formula>
    </cfRule>
    <cfRule type="cellIs" dxfId="157" priority="17" operator="equal">
      <formula>"Level 1 - Initial"</formula>
    </cfRule>
    <cfRule type="cellIs" dxfId="156" priority="16" operator="equal">
      <formula>"Level 2 - Repeatable"</formula>
    </cfRule>
    <cfRule type="cellIs" dxfId="155" priority="15" operator="equal">
      <formula>"Level 3 - Defined"</formula>
    </cfRule>
    <cfRule type="cellIs" dxfId="154" priority="14" operator="equal">
      <formula>"Level 4 - Managed"</formula>
    </cfRule>
    <cfRule type="cellIs" dxfId="153" priority="13" operator="equal">
      <formula>"Level 5 - Optimized"</formula>
    </cfRule>
  </conditionalFormatting>
  <conditionalFormatting sqref="C225:C236">
    <cfRule type="cellIs" dxfId="152" priority="12" operator="equal">
      <formula>"Level 0 - Does not exist"</formula>
    </cfRule>
    <cfRule type="cellIs" dxfId="151" priority="11" operator="equal">
      <formula>"Level 1 - Initial"</formula>
    </cfRule>
    <cfRule type="cellIs" dxfId="150" priority="10" operator="equal">
      <formula>"Level 2 - Repeatable"</formula>
    </cfRule>
    <cfRule type="cellIs" dxfId="149" priority="9" operator="equal">
      <formula>"Level 3 - Defined"</formula>
    </cfRule>
    <cfRule type="cellIs" dxfId="148" priority="8" operator="equal">
      <formula>"Level 4 - Managed"</formula>
    </cfRule>
    <cfRule type="cellIs" dxfId="147" priority="7" operator="equal">
      <formula>"Level 5 - Optimized"</formula>
    </cfRule>
  </conditionalFormatting>
  <conditionalFormatting sqref="D5:D26 D38:D63">
    <cfRule type="cellIs" dxfId="146" priority="183" operator="equal">
      <formula>3</formula>
    </cfRule>
  </conditionalFormatting>
  <conditionalFormatting sqref="D28:D36">
    <cfRule type="cellIs" dxfId="145" priority="165" operator="equal">
      <formula>3</formula>
    </cfRule>
  </conditionalFormatting>
  <conditionalFormatting sqref="D65:D103">
    <cfRule type="cellIs" dxfId="144" priority="129" operator="equal">
      <formula>3</formula>
    </cfRule>
  </conditionalFormatting>
  <conditionalFormatting sqref="D105:D134">
    <cfRule type="cellIs" dxfId="143" priority="111" operator="equal">
      <formula>3</formula>
    </cfRule>
  </conditionalFormatting>
  <conditionalFormatting sqref="D136:D183">
    <cfRule type="cellIs" dxfId="142" priority="93" operator="equal">
      <formula>3</formula>
    </cfRule>
  </conditionalFormatting>
  <conditionalFormatting sqref="D185:D190">
    <cfRule type="cellIs" dxfId="141" priority="75" operator="equal">
      <formula>3</formula>
    </cfRule>
  </conditionalFormatting>
  <conditionalFormatting sqref="D229:D234">
    <cfRule type="cellIs" dxfId="140" priority="66" operator="equal">
      <formula>0</formula>
    </cfRule>
    <cfRule type="cellIs" dxfId="139" priority="65" operator="equal">
      <formula>1</formula>
    </cfRule>
    <cfRule type="cellIs" dxfId="138" priority="64" operator="equal">
      <formula>2</formula>
    </cfRule>
    <cfRule type="cellIs" dxfId="137" priority="63" operator="equal">
      <formula>3</formula>
    </cfRule>
    <cfRule type="cellIs" dxfId="136" priority="62" operator="equal">
      <formula>4</formula>
    </cfRule>
    <cfRule type="cellIs" dxfId="135" priority="61" operator="equal">
      <formula>5</formula>
    </cfRule>
  </conditionalFormatting>
  <conditionalFormatting sqref="D216:E223 D225:E228">
    <cfRule type="cellIs" dxfId="134" priority="67" operator="equal">
      <formula>5</formula>
    </cfRule>
    <cfRule type="cellIs" dxfId="133" priority="68" operator="equal">
      <formula>4</formula>
    </cfRule>
    <cfRule type="cellIs" dxfId="132" priority="70" operator="equal">
      <formula>2</formula>
    </cfRule>
    <cfRule type="cellIs" dxfId="131" priority="71" operator="equal">
      <formula>1</formula>
    </cfRule>
    <cfRule type="cellIs" dxfId="130" priority="72" operator="equal">
      <formula>0</formula>
    </cfRule>
    <cfRule type="cellIs" dxfId="129" priority="69" operator="equal">
      <formula>3</formula>
    </cfRule>
  </conditionalFormatting>
  <conditionalFormatting sqref="D5:F26 D38:F63">
    <cfRule type="cellIs" dxfId="128" priority="181" operator="equal">
      <formula>5</formula>
    </cfRule>
    <cfRule type="cellIs" dxfId="127" priority="186" operator="equal">
      <formula>0</formula>
    </cfRule>
    <cfRule type="cellIs" dxfId="126" priority="182" operator="equal">
      <formula>4</formula>
    </cfRule>
    <cfRule type="cellIs" dxfId="125" priority="184" operator="equal">
      <formula>2</formula>
    </cfRule>
    <cfRule type="cellIs" dxfId="124" priority="185" operator="equal">
      <formula>1</formula>
    </cfRule>
  </conditionalFormatting>
  <conditionalFormatting sqref="D28:F36">
    <cfRule type="cellIs" dxfId="123" priority="166" operator="equal">
      <formula>2</formula>
    </cfRule>
    <cfRule type="cellIs" dxfId="122" priority="168" operator="equal">
      <formula>0</formula>
    </cfRule>
    <cfRule type="cellIs" dxfId="121" priority="167" operator="equal">
      <formula>1</formula>
    </cfRule>
    <cfRule type="cellIs" dxfId="120" priority="163" operator="equal">
      <formula>5</formula>
    </cfRule>
    <cfRule type="cellIs" dxfId="119" priority="164" operator="equal">
      <formula>4</formula>
    </cfRule>
  </conditionalFormatting>
  <conditionalFormatting sqref="D65:F103">
    <cfRule type="cellIs" dxfId="118" priority="127" operator="equal">
      <formula>5</formula>
    </cfRule>
    <cfRule type="cellIs" dxfId="117" priority="128" operator="equal">
      <formula>4</formula>
    </cfRule>
    <cfRule type="cellIs" dxfId="116" priority="130" operator="equal">
      <formula>2</formula>
    </cfRule>
    <cfRule type="cellIs" dxfId="115" priority="131" operator="equal">
      <formula>1</formula>
    </cfRule>
    <cfRule type="cellIs" dxfId="114" priority="132" operator="equal">
      <formula>0</formula>
    </cfRule>
  </conditionalFormatting>
  <conditionalFormatting sqref="D105:F134">
    <cfRule type="cellIs" dxfId="113" priority="109" operator="equal">
      <formula>5</formula>
    </cfRule>
    <cfRule type="cellIs" dxfId="112" priority="110" operator="equal">
      <formula>4</formula>
    </cfRule>
    <cfRule type="cellIs" dxfId="111" priority="112" operator="equal">
      <formula>2</formula>
    </cfRule>
    <cfRule type="cellIs" dxfId="110" priority="114" operator="equal">
      <formula>0</formula>
    </cfRule>
    <cfRule type="cellIs" dxfId="109" priority="113" operator="equal">
      <formula>1</formula>
    </cfRule>
  </conditionalFormatting>
  <conditionalFormatting sqref="D136:F183">
    <cfRule type="cellIs" dxfId="108" priority="96" operator="equal">
      <formula>0</formula>
    </cfRule>
    <cfRule type="cellIs" dxfId="107" priority="95" operator="equal">
      <formula>1</formula>
    </cfRule>
    <cfRule type="cellIs" dxfId="106" priority="94" operator="equal">
      <formula>2</formula>
    </cfRule>
    <cfRule type="cellIs" dxfId="105" priority="92" operator="equal">
      <formula>4</formula>
    </cfRule>
    <cfRule type="cellIs" dxfId="104" priority="91" operator="equal">
      <formula>5</formula>
    </cfRule>
  </conditionalFormatting>
  <conditionalFormatting sqref="D185:F190">
    <cfRule type="cellIs" dxfId="103" priority="74" operator="equal">
      <formula>4</formula>
    </cfRule>
    <cfRule type="cellIs" dxfId="102" priority="78" operator="equal">
      <formula>0</formula>
    </cfRule>
    <cfRule type="cellIs" dxfId="101" priority="77" operator="equal">
      <formula>1</formula>
    </cfRule>
    <cfRule type="cellIs" dxfId="100" priority="76" operator="equal">
      <formula>2</formula>
    </cfRule>
    <cfRule type="cellIs" dxfId="99" priority="73" operator="equal">
      <formula>5</formula>
    </cfRule>
  </conditionalFormatting>
  <conditionalFormatting sqref="E5:F26 E38:F63">
    <cfRule type="cellIs" dxfId="98" priority="280" operator="equal">
      <formula>3</formula>
    </cfRule>
  </conditionalFormatting>
  <conditionalFormatting sqref="E28:F36">
    <cfRule type="cellIs" dxfId="97" priority="171" operator="equal">
      <formula>3</formula>
    </cfRule>
  </conditionalFormatting>
  <conditionalFormatting sqref="E65:F103">
    <cfRule type="cellIs" dxfId="96" priority="135" operator="equal">
      <formula>3</formula>
    </cfRule>
  </conditionalFormatting>
  <conditionalFormatting sqref="E105:F134">
    <cfRule type="cellIs" dxfId="95" priority="117" operator="equal">
      <formula>3</formula>
    </cfRule>
  </conditionalFormatting>
  <conditionalFormatting sqref="E136:F183">
    <cfRule type="cellIs" dxfId="94" priority="99" operator="equal">
      <formula>3</formula>
    </cfRule>
  </conditionalFormatting>
  <conditionalFormatting sqref="E185:F190">
    <cfRule type="cellIs" dxfId="93" priority="81" operator="equal">
      <formula>3</formula>
    </cfRule>
  </conditionalFormatting>
  <pageMargins left="0.7" right="0.7" top="0.75" bottom="0.75" header="0.3" footer="0.3"/>
  <pageSetup scale="78" fitToHeight="0" orientation="portrait" horizontalDpi="300" verticalDpi="300"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A00-000000000000}">
          <x14:formula1>
            <xm:f>'CoBIT maturity key'!$B$4:$B$9</xm:f>
          </x14:formula1>
          <xm:sqref>C184 C135 C104 C64 C37 C27 D5:E190</xm:sqref>
        </x14:dataValidation>
        <x14:dataValidation type="list" allowBlank="1" showInputMessage="1" showErrorMessage="1" xr:uid="{00000000-0002-0000-0A00-000001000000}">
          <x14:formula1>
            <xm:f>'CoBIT maturity key'!$A$4:$A$9</xm:f>
          </x14:formula1>
          <xm:sqref>C5:C26 C28:C36 C105:C134 C185:C190 C216:C223 C225:C236 C38:C63 C65:C103 C136:C183</xm:sqref>
        </x14:dataValidation>
      </x14:dataValidations>
    </ext>
    <ext xmlns:mx="http://schemas.microsoft.com/office/mac/excel/2008/main" uri="{64002731-A6B0-56B0-2670-7721B7C09600}">
      <mx:PLV Mode="0" OnePage="0" WScale="0"/>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FFFF00"/>
    <pageSetUpPr fitToPage="1"/>
  </sheetPr>
  <dimension ref="A1:I153"/>
  <sheetViews>
    <sheetView zoomScaleNormal="100" zoomScalePageLayoutView="125" workbookViewId="0">
      <pane ySplit="3" topLeftCell="A103" activePane="bottomLeft" state="frozen"/>
      <selection pane="bottomLeft" activeCell="B86" sqref="B86"/>
    </sheetView>
  </sheetViews>
  <sheetFormatPr baseColWidth="10" defaultColWidth="8.83203125" defaultRowHeight="15" x14ac:dyDescent="0.2"/>
  <cols>
    <col min="1" max="1" width="6.5" style="3" customWidth="1"/>
    <col min="2" max="2" width="85.5" style="176" bestFit="1" customWidth="1"/>
    <col min="3" max="3" width="13.5" style="34" customWidth="1"/>
    <col min="4" max="4" width="18.5" style="34" hidden="1" customWidth="1"/>
    <col min="5" max="5" width="21.5" style="34" hidden="1" customWidth="1"/>
    <col min="6" max="6" width="15.5" style="34" hidden="1" customWidth="1"/>
    <col min="7" max="7" width="51.5" style="34" customWidth="1"/>
    <col min="8" max="16384" width="8.83203125" style="34"/>
  </cols>
  <sheetData>
    <row r="1" spans="1:8" s="58" customFormat="1" ht="24.75" customHeight="1" x14ac:dyDescent="0.2">
      <c r="A1" s="56"/>
      <c r="B1" s="172"/>
    </row>
    <row r="2" spans="1:8" s="30" customFormat="1" ht="22.5" customHeight="1" x14ac:dyDescent="0.2">
      <c r="A2" s="173" t="s">
        <v>10</v>
      </c>
      <c r="B2" s="173"/>
      <c r="G2" s="31"/>
      <c r="H2" s="31"/>
    </row>
    <row r="3" spans="1:8" s="26" customFormat="1" ht="21" customHeight="1" x14ac:dyDescent="0.2">
      <c r="A3" s="174" t="s">
        <v>71</v>
      </c>
      <c r="B3" s="174" t="s">
        <v>72</v>
      </c>
      <c r="C3" s="27" t="s">
        <v>73</v>
      </c>
      <c r="D3" s="27" t="s">
        <v>4</v>
      </c>
      <c r="E3" s="27" t="s">
        <v>5</v>
      </c>
      <c r="F3" s="27" t="s">
        <v>74</v>
      </c>
      <c r="G3" s="26" t="s">
        <v>75</v>
      </c>
    </row>
    <row r="4" spans="1:8" s="29" customFormat="1" ht="21" customHeight="1" x14ac:dyDescent="0.2">
      <c r="A4" s="28" t="s">
        <v>805</v>
      </c>
      <c r="B4" s="28"/>
    </row>
    <row r="5" spans="1:8" s="39" customFormat="1" ht="21" customHeight="1" x14ac:dyDescent="0.2">
      <c r="A5" s="39" t="s">
        <v>806</v>
      </c>
      <c r="B5" s="39" t="s">
        <v>807</v>
      </c>
      <c r="C5" s="197" t="s">
        <v>364</v>
      </c>
      <c r="D5" s="54"/>
      <c r="E5" s="54">
        <v>4</v>
      </c>
      <c r="F5" s="54">
        <v>5</v>
      </c>
      <c r="G5" s="117"/>
    </row>
    <row r="6" spans="1:8" s="40" customFormat="1" ht="21" customHeight="1" x14ac:dyDescent="0.2">
      <c r="A6" s="35" t="s">
        <v>808</v>
      </c>
      <c r="B6" s="40" t="s">
        <v>809</v>
      </c>
      <c r="C6" s="197" t="s">
        <v>79</v>
      </c>
      <c r="D6" s="54"/>
      <c r="E6" s="54">
        <v>4</v>
      </c>
      <c r="F6" s="54">
        <v>5</v>
      </c>
      <c r="G6" s="116"/>
    </row>
    <row r="7" spans="1:8" s="39" customFormat="1" ht="21" customHeight="1" x14ac:dyDescent="0.2">
      <c r="A7" s="39" t="s">
        <v>810</v>
      </c>
      <c r="B7" s="39" t="s">
        <v>811</v>
      </c>
      <c r="C7" s="197" t="s">
        <v>98</v>
      </c>
      <c r="D7" s="54"/>
      <c r="E7" s="54">
        <v>4</v>
      </c>
      <c r="F7" s="54">
        <v>5</v>
      </c>
      <c r="G7" s="117"/>
    </row>
    <row r="8" spans="1:8" s="40" customFormat="1" ht="21" customHeight="1" x14ac:dyDescent="0.2">
      <c r="A8" s="35" t="s">
        <v>812</v>
      </c>
      <c r="B8" s="40" t="s">
        <v>813</v>
      </c>
      <c r="C8" s="197" t="s">
        <v>98</v>
      </c>
      <c r="D8" s="54"/>
      <c r="E8" s="54">
        <v>4</v>
      </c>
      <c r="F8" s="54">
        <v>5</v>
      </c>
      <c r="G8" s="116"/>
    </row>
    <row r="9" spans="1:8" s="39" customFormat="1" ht="21" customHeight="1" x14ac:dyDescent="0.2">
      <c r="A9" s="39" t="s">
        <v>814</v>
      </c>
      <c r="B9" s="39" t="s">
        <v>815</v>
      </c>
      <c r="C9" s="197" t="s">
        <v>98</v>
      </c>
      <c r="D9" s="54"/>
      <c r="E9" s="54">
        <v>4</v>
      </c>
      <c r="F9" s="54">
        <v>5</v>
      </c>
      <c r="G9" s="117"/>
    </row>
    <row r="10" spans="1:8" s="40" customFormat="1" ht="21" customHeight="1" x14ac:dyDescent="0.2">
      <c r="A10" s="35" t="s">
        <v>816</v>
      </c>
      <c r="B10" s="40" t="s">
        <v>817</v>
      </c>
      <c r="C10" s="197" t="s">
        <v>98</v>
      </c>
      <c r="D10" s="54"/>
      <c r="E10" s="54">
        <v>4</v>
      </c>
      <c r="F10" s="54">
        <v>5</v>
      </c>
      <c r="G10" s="116"/>
    </row>
    <row r="11" spans="1:8" s="39" customFormat="1" ht="21" customHeight="1" x14ac:dyDescent="0.2">
      <c r="A11" s="39" t="s">
        <v>818</v>
      </c>
      <c r="B11" s="39" t="s">
        <v>819</v>
      </c>
      <c r="C11" s="197" t="s">
        <v>98</v>
      </c>
      <c r="D11" s="54"/>
      <c r="E11" s="54">
        <v>4</v>
      </c>
      <c r="F11" s="54">
        <v>5</v>
      </c>
      <c r="G11" s="117"/>
    </row>
    <row r="12" spans="1:8" s="40" customFormat="1" ht="21" customHeight="1" x14ac:dyDescent="0.2">
      <c r="A12" s="35" t="s">
        <v>820</v>
      </c>
      <c r="B12" s="40" t="s">
        <v>821</v>
      </c>
      <c r="C12" s="197" t="s">
        <v>364</v>
      </c>
      <c r="D12" s="54"/>
      <c r="E12" s="54">
        <v>4</v>
      </c>
      <c r="F12" s="54">
        <v>5</v>
      </c>
      <c r="G12" s="116"/>
    </row>
    <row r="13" spans="1:8" s="39" customFormat="1" ht="21" customHeight="1" x14ac:dyDescent="0.2">
      <c r="A13" s="39" t="s">
        <v>822</v>
      </c>
      <c r="B13" s="39" t="s">
        <v>823</v>
      </c>
      <c r="C13" s="197" t="s">
        <v>98</v>
      </c>
      <c r="D13" s="54"/>
      <c r="E13" s="54">
        <v>4</v>
      </c>
      <c r="F13" s="54">
        <v>5</v>
      </c>
      <c r="G13" s="117"/>
    </row>
    <row r="14" spans="1:8" s="29" customFormat="1" ht="21" customHeight="1" x14ac:dyDescent="0.2">
      <c r="A14" s="28" t="s">
        <v>824</v>
      </c>
      <c r="B14" s="28"/>
    </row>
    <row r="15" spans="1:8" s="39" customFormat="1" ht="21" customHeight="1" x14ac:dyDescent="0.2">
      <c r="A15" s="39" t="s">
        <v>825</v>
      </c>
      <c r="B15" s="39" t="s">
        <v>826</v>
      </c>
      <c r="C15" s="197" t="s">
        <v>98</v>
      </c>
      <c r="D15" s="54"/>
      <c r="E15" s="54">
        <v>4</v>
      </c>
      <c r="F15" s="54">
        <v>5</v>
      </c>
      <c r="G15" s="117"/>
    </row>
    <row r="16" spans="1:8" s="40" customFormat="1" ht="21" customHeight="1" x14ac:dyDescent="0.2">
      <c r="A16" s="35" t="s">
        <v>827</v>
      </c>
      <c r="B16" s="40" t="s">
        <v>828</v>
      </c>
      <c r="C16" s="197" t="s">
        <v>98</v>
      </c>
      <c r="D16" s="54"/>
      <c r="E16" s="54">
        <v>4</v>
      </c>
      <c r="F16" s="54">
        <v>5</v>
      </c>
      <c r="G16" s="116"/>
    </row>
    <row r="17" spans="1:7" s="39" customFormat="1" ht="21" customHeight="1" x14ac:dyDescent="0.2">
      <c r="A17" s="39" t="s">
        <v>829</v>
      </c>
      <c r="B17" s="39" t="s">
        <v>830</v>
      </c>
      <c r="C17" s="197" t="s">
        <v>98</v>
      </c>
      <c r="D17" s="54"/>
      <c r="E17" s="54">
        <v>4</v>
      </c>
      <c r="F17" s="54">
        <v>5</v>
      </c>
      <c r="G17" s="117"/>
    </row>
    <row r="18" spans="1:7" s="40" customFormat="1" ht="21" customHeight="1" x14ac:dyDescent="0.2">
      <c r="A18" s="35" t="s">
        <v>831</v>
      </c>
      <c r="B18" s="40" t="s">
        <v>832</v>
      </c>
      <c r="C18" s="197" t="s">
        <v>364</v>
      </c>
      <c r="D18" s="54"/>
      <c r="E18" s="54">
        <v>4</v>
      </c>
      <c r="F18" s="54">
        <v>5</v>
      </c>
      <c r="G18" s="116"/>
    </row>
    <row r="19" spans="1:7" s="39" customFormat="1" ht="21" customHeight="1" x14ac:dyDescent="0.2">
      <c r="A19" s="39" t="s">
        <v>833</v>
      </c>
      <c r="B19" s="39" t="s">
        <v>834</v>
      </c>
      <c r="C19" s="197" t="s">
        <v>373</v>
      </c>
      <c r="D19" s="54"/>
      <c r="E19" s="54">
        <v>4</v>
      </c>
      <c r="F19" s="54">
        <v>5</v>
      </c>
      <c r="G19" s="114" t="s">
        <v>1538</v>
      </c>
    </row>
    <row r="20" spans="1:7" s="40" customFormat="1" ht="21" customHeight="1" x14ac:dyDescent="0.2">
      <c r="A20" s="35" t="s">
        <v>835</v>
      </c>
      <c r="B20" s="40" t="s">
        <v>836</v>
      </c>
      <c r="C20" s="197" t="s">
        <v>98</v>
      </c>
      <c r="D20" s="54"/>
      <c r="E20" s="54">
        <v>4</v>
      </c>
      <c r="F20" s="54">
        <v>5</v>
      </c>
      <c r="G20" s="116"/>
    </row>
    <row r="21" spans="1:7" s="39" customFormat="1" ht="21" customHeight="1" x14ac:dyDescent="0.2">
      <c r="A21" s="39" t="s">
        <v>837</v>
      </c>
      <c r="B21" s="39" t="s">
        <v>838</v>
      </c>
      <c r="C21" s="197" t="s">
        <v>364</v>
      </c>
      <c r="D21" s="54"/>
      <c r="E21" s="54">
        <v>4</v>
      </c>
      <c r="F21" s="54">
        <v>5</v>
      </c>
      <c r="G21" s="117"/>
    </row>
    <row r="22" spans="1:7" s="40" customFormat="1" ht="21" customHeight="1" x14ac:dyDescent="0.2">
      <c r="A22" s="35" t="s">
        <v>839</v>
      </c>
      <c r="B22" s="35" t="s">
        <v>840</v>
      </c>
      <c r="C22" s="197" t="s">
        <v>98</v>
      </c>
      <c r="D22" s="54"/>
      <c r="E22" s="54">
        <v>4</v>
      </c>
      <c r="F22" s="54">
        <v>5</v>
      </c>
      <c r="G22" s="116"/>
    </row>
    <row r="23" spans="1:7" s="39" customFormat="1" ht="21" customHeight="1" x14ac:dyDescent="0.2">
      <c r="A23" s="39" t="s">
        <v>841</v>
      </c>
      <c r="B23" s="39" t="s">
        <v>842</v>
      </c>
      <c r="C23" s="197" t="s">
        <v>98</v>
      </c>
      <c r="D23" s="54"/>
      <c r="E23" s="54">
        <v>4</v>
      </c>
      <c r="F23" s="54">
        <v>5</v>
      </c>
      <c r="G23" s="117"/>
    </row>
    <row r="24" spans="1:7" s="40" customFormat="1" ht="21" customHeight="1" x14ac:dyDescent="0.2">
      <c r="A24" s="35" t="s">
        <v>843</v>
      </c>
      <c r="B24" s="35" t="s">
        <v>844</v>
      </c>
      <c r="C24" s="197" t="s">
        <v>98</v>
      </c>
      <c r="D24" s="54"/>
      <c r="E24" s="54">
        <v>4</v>
      </c>
      <c r="F24" s="54">
        <v>5</v>
      </c>
      <c r="G24" s="116"/>
    </row>
    <row r="25" spans="1:7" s="39" customFormat="1" ht="21" customHeight="1" x14ac:dyDescent="0.2">
      <c r="A25" s="39" t="s">
        <v>845</v>
      </c>
      <c r="B25" s="39" t="s">
        <v>846</v>
      </c>
      <c r="C25" s="197" t="s">
        <v>98</v>
      </c>
      <c r="D25" s="54"/>
      <c r="E25" s="54">
        <v>4</v>
      </c>
      <c r="F25" s="54">
        <v>5</v>
      </c>
      <c r="G25" s="117"/>
    </row>
    <row r="26" spans="1:7" s="40" customFormat="1" ht="21" customHeight="1" x14ac:dyDescent="0.2">
      <c r="A26" s="35" t="s">
        <v>847</v>
      </c>
      <c r="B26" s="35" t="s">
        <v>848</v>
      </c>
      <c r="C26" s="197" t="s">
        <v>98</v>
      </c>
      <c r="D26" s="54"/>
      <c r="E26" s="54">
        <v>4</v>
      </c>
      <c r="F26" s="54">
        <v>5</v>
      </c>
      <c r="G26" s="116"/>
    </row>
    <row r="27" spans="1:7" s="39" customFormat="1" ht="21" customHeight="1" x14ac:dyDescent="0.2">
      <c r="A27" s="39" t="s">
        <v>849</v>
      </c>
      <c r="B27" s="39" t="s">
        <v>850</v>
      </c>
      <c r="C27" s="197" t="s">
        <v>98</v>
      </c>
      <c r="D27" s="54"/>
      <c r="E27" s="54">
        <v>4</v>
      </c>
      <c r="F27" s="54">
        <v>5</v>
      </c>
      <c r="G27" s="117"/>
    </row>
    <row r="28" spans="1:7" s="40" customFormat="1" ht="21" customHeight="1" x14ac:dyDescent="0.2">
      <c r="A28" s="35" t="s">
        <v>851</v>
      </c>
      <c r="B28" s="35" t="s">
        <v>852</v>
      </c>
      <c r="C28" s="197" t="s">
        <v>98</v>
      </c>
      <c r="D28" s="54"/>
      <c r="E28" s="54">
        <v>4</v>
      </c>
      <c r="F28" s="54">
        <v>5</v>
      </c>
      <c r="G28" s="116"/>
    </row>
    <row r="29" spans="1:7" s="40" customFormat="1" ht="21" customHeight="1" x14ac:dyDescent="0.2">
      <c r="A29" s="39" t="s">
        <v>853</v>
      </c>
      <c r="B29" s="35" t="s">
        <v>854</v>
      </c>
      <c r="C29" s="197" t="s">
        <v>364</v>
      </c>
      <c r="D29" s="54"/>
      <c r="E29" s="54">
        <v>4</v>
      </c>
      <c r="F29" s="54">
        <v>5</v>
      </c>
      <c r="G29" s="116"/>
    </row>
    <row r="30" spans="1:7" s="40" customFormat="1" ht="21" customHeight="1" x14ac:dyDescent="0.2">
      <c r="A30" s="35" t="s">
        <v>855</v>
      </c>
      <c r="B30" s="35" t="s">
        <v>856</v>
      </c>
      <c r="C30" s="197" t="s">
        <v>98</v>
      </c>
      <c r="D30" s="54"/>
      <c r="E30" s="54">
        <v>4</v>
      </c>
      <c r="F30" s="54">
        <v>5</v>
      </c>
      <c r="G30" s="116"/>
    </row>
    <row r="31" spans="1:7" s="29" customFormat="1" ht="21" customHeight="1" x14ac:dyDescent="0.2">
      <c r="A31" s="28" t="s">
        <v>857</v>
      </c>
      <c r="B31" s="28"/>
    </row>
    <row r="32" spans="1:7" s="39" customFormat="1" ht="21" customHeight="1" x14ac:dyDescent="0.2">
      <c r="A32" s="39" t="s">
        <v>858</v>
      </c>
      <c r="B32" s="39" t="s">
        <v>859</v>
      </c>
      <c r="C32" s="197" t="s">
        <v>364</v>
      </c>
      <c r="D32" s="54"/>
      <c r="E32" s="54">
        <v>4</v>
      </c>
      <c r="F32" s="54">
        <v>5</v>
      </c>
      <c r="G32" s="117"/>
    </row>
    <row r="33" spans="1:7" s="40" customFormat="1" ht="21" customHeight="1" x14ac:dyDescent="0.2">
      <c r="A33" s="35" t="s">
        <v>860</v>
      </c>
      <c r="B33" s="40" t="s">
        <v>861</v>
      </c>
      <c r="C33" s="197" t="s">
        <v>98</v>
      </c>
      <c r="D33" s="54"/>
      <c r="E33" s="54">
        <v>4</v>
      </c>
      <c r="F33" s="54">
        <v>5</v>
      </c>
      <c r="G33" s="116"/>
    </row>
    <row r="34" spans="1:7" s="39" customFormat="1" ht="21" customHeight="1" x14ac:dyDescent="0.2">
      <c r="A34" s="39" t="s">
        <v>862</v>
      </c>
      <c r="B34" s="39" t="s">
        <v>863</v>
      </c>
      <c r="C34" s="197" t="s">
        <v>364</v>
      </c>
      <c r="D34" s="54"/>
      <c r="E34" s="54">
        <v>4</v>
      </c>
      <c r="F34" s="54">
        <v>5</v>
      </c>
      <c r="G34" s="117"/>
    </row>
    <row r="35" spans="1:7" s="40" customFormat="1" ht="21" customHeight="1" x14ac:dyDescent="0.2">
      <c r="A35" s="35" t="s">
        <v>864</v>
      </c>
      <c r="B35" s="40" t="s">
        <v>865</v>
      </c>
      <c r="C35" s="197" t="s">
        <v>98</v>
      </c>
      <c r="D35" s="54"/>
      <c r="E35" s="54">
        <v>4</v>
      </c>
      <c r="F35" s="54">
        <v>5</v>
      </c>
      <c r="G35" s="116"/>
    </row>
    <row r="36" spans="1:7" s="39" customFormat="1" ht="21" customHeight="1" x14ac:dyDescent="0.2">
      <c r="A36" s="39" t="s">
        <v>866</v>
      </c>
      <c r="B36" s="39" t="s">
        <v>867</v>
      </c>
      <c r="C36" s="197" t="s">
        <v>98</v>
      </c>
      <c r="D36" s="54"/>
      <c r="E36" s="54">
        <v>4</v>
      </c>
      <c r="F36" s="54">
        <v>5</v>
      </c>
      <c r="G36" s="117"/>
    </row>
    <row r="37" spans="1:7" s="40" customFormat="1" ht="21" customHeight="1" x14ac:dyDescent="0.2">
      <c r="A37" s="35" t="s">
        <v>868</v>
      </c>
      <c r="B37" s="40" t="s">
        <v>869</v>
      </c>
      <c r="C37" s="197" t="s">
        <v>98</v>
      </c>
      <c r="D37" s="54"/>
      <c r="E37" s="54">
        <v>4</v>
      </c>
      <c r="F37" s="54">
        <v>5</v>
      </c>
      <c r="G37" s="116"/>
    </row>
    <row r="38" spans="1:7" s="39" customFormat="1" ht="21" customHeight="1" x14ac:dyDescent="0.2">
      <c r="A38" s="39" t="s">
        <v>870</v>
      </c>
      <c r="B38" s="39" t="s">
        <v>871</v>
      </c>
      <c r="C38" s="197" t="s">
        <v>98</v>
      </c>
      <c r="D38" s="54"/>
      <c r="E38" s="54">
        <v>4</v>
      </c>
      <c r="F38" s="54">
        <v>5</v>
      </c>
      <c r="G38" s="117"/>
    </row>
    <row r="39" spans="1:7" s="40" customFormat="1" ht="21" customHeight="1" x14ac:dyDescent="0.2">
      <c r="A39" s="35" t="s">
        <v>872</v>
      </c>
      <c r="B39" s="40" t="s">
        <v>873</v>
      </c>
      <c r="C39" s="197" t="s">
        <v>98</v>
      </c>
      <c r="D39" s="54"/>
      <c r="E39" s="54">
        <v>4</v>
      </c>
      <c r="F39" s="54">
        <v>5</v>
      </c>
      <c r="G39" s="116"/>
    </row>
    <row r="40" spans="1:7" s="29" customFormat="1" ht="21" customHeight="1" x14ac:dyDescent="0.2">
      <c r="A40" s="28" t="s">
        <v>874</v>
      </c>
      <c r="B40" s="28"/>
    </row>
    <row r="41" spans="1:7" s="39" customFormat="1" ht="21" customHeight="1" x14ac:dyDescent="0.2">
      <c r="A41" s="39" t="s">
        <v>875</v>
      </c>
      <c r="B41" s="39" t="s">
        <v>876</v>
      </c>
      <c r="C41" s="197" t="s">
        <v>98</v>
      </c>
      <c r="D41" s="54"/>
      <c r="E41" s="54">
        <v>4</v>
      </c>
      <c r="F41" s="54">
        <v>5</v>
      </c>
      <c r="G41" s="117"/>
    </row>
    <row r="42" spans="1:7" s="40" customFormat="1" ht="21" customHeight="1" x14ac:dyDescent="0.2">
      <c r="A42" s="35" t="s">
        <v>877</v>
      </c>
      <c r="B42" s="35" t="s">
        <v>878</v>
      </c>
      <c r="C42" s="197" t="s">
        <v>98</v>
      </c>
      <c r="D42" s="54"/>
      <c r="E42" s="54">
        <v>4</v>
      </c>
      <c r="F42" s="54">
        <v>5</v>
      </c>
      <c r="G42" s="116"/>
    </row>
    <row r="43" spans="1:7" s="39" customFormat="1" ht="21" customHeight="1" x14ac:dyDescent="0.2">
      <c r="A43" s="39" t="s">
        <v>879</v>
      </c>
      <c r="B43" s="39" t="s">
        <v>880</v>
      </c>
      <c r="C43" s="197" t="s">
        <v>98</v>
      </c>
      <c r="D43" s="54"/>
      <c r="E43" s="54">
        <v>4</v>
      </c>
      <c r="F43" s="54">
        <v>5</v>
      </c>
      <c r="G43" s="117"/>
    </row>
    <row r="44" spans="1:7" s="40" customFormat="1" ht="21" customHeight="1" x14ac:dyDescent="0.2">
      <c r="A44" s="35" t="s">
        <v>881</v>
      </c>
      <c r="B44" s="35" t="s">
        <v>882</v>
      </c>
      <c r="C44" s="197" t="s">
        <v>98</v>
      </c>
      <c r="D44" s="54"/>
      <c r="E44" s="54">
        <v>4</v>
      </c>
      <c r="F44" s="54">
        <v>5</v>
      </c>
      <c r="G44" s="116"/>
    </row>
    <row r="45" spans="1:7" s="39" customFormat="1" ht="21" customHeight="1" x14ac:dyDescent="0.2">
      <c r="A45" s="39" t="s">
        <v>883</v>
      </c>
      <c r="B45" s="39" t="s">
        <v>884</v>
      </c>
      <c r="C45" s="197" t="s">
        <v>98</v>
      </c>
      <c r="D45" s="54"/>
      <c r="E45" s="54">
        <v>4</v>
      </c>
      <c r="F45" s="54">
        <v>5</v>
      </c>
      <c r="G45" s="117"/>
    </row>
    <row r="46" spans="1:7" s="40" customFormat="1" ht="21" customHeight="1" x14ac:dyDescent="0.2">
      <c r="A46" s="35" t="s">
        <v>885</v>
      </c>
      <c r="B46" s="35" t="s">
        <v>886</v>
      </c>
      <c r="C46" s="197" t="s">
        <v>364</v>
      </c>
      <c r="D46" s="54"/>
      <c r="E46" s="54">
        <v>4</v>
      </c>
      <c r="F46" s="54">
        <v>5</v>
      </c>
      <c r="G46" s="116"/>
    </row>
    <row r="47" spans="1:7" s="39" customFormat="1" ht="21" customHeight="1" x14ac:dyDescent="0.2">
      <c r="A47" s="39" t="s">
        <v>887</v>
      </c>
      <c r="B47" s="39" t="s">
        <v>888</v>
      </c>
      <c r="C47" s="197" t="s">
        <v>98</v>
      </c>
      <c r="D47" s="54"/>
      <c r="E47" s="54">
        <v>4</v>
      </c>
      <c r="F47" s="54">
        <v>5</v>
      </c>
      <c r="G47" s="117"/>
    </row>
    <row r="48" spans="1:7" s="40" customFormat="1" ht="21" customHeight="1" x14ac:dyDescent="0.2">
      <c r="A48" s="35" t="s">
        <v>889</v>
      </c>
      <c r="B48" s="35" t="s">
        <v>890</v>
      </c>
      <c r="C48" s="197" t="s">
        <v>364</v>
      </c>
      <c r="D48" s="54"/>
      <c r="E48" s="54">
        <v>4</v>
      </c>
      <c r="F48" s="54">
        <v>5</v>
      </c>
      <c r="G48" s="116"/>
    </row>
    <row r="49" spans="1:7" s="39" customFormat="1" ht="21" customHeight="1" x14ac:dyDescent="0.2">
      <c r="A49" s="39" t="s">
        <v>891</v>
      </c>
      <c r="B49" s="39" t="s">
        <v>892</v>
      </c>
      <c r="C49" s="197" t="s">
        <v>364</v>
      </c>
      <c r="D49" s="54"/>
      <c r="E49" s="54">
        <v>4</v>
      </c>
      <c r="F49" s="54">
        <v>5</v>
      </c>
      <c r="G49" s="117"/>
    </row>
    <row r="50" spans="1:7" s="40" customFormat="1" ht="21" customHeight="1" x14ac:dyDescent="0.2">
      <c r="A50" s="35" t="s">
        <v>893</v>
      </c>
      <c r="B50" s="35" t="s">
        <v>869</v>
      </c>
      <c r="C50" s="197" t="s">
        <v>98</v>
      </c>
      <c r="D50" s="54"/>
      <c r="E50" s="54">
        <v>4</v>
      </c>
      <c r="F50" s="54">
        <v>5</v>
      </c>
      <c r="G50" s="116"/>
    </row>
    <row r="51" spans="1:7" s="39" customFormat="1" ht="21" customHeight="1" x14ac:dyDescent="0.2">
      <c r="A51" s="39" t="s">
        <v>894</v>
      </c>
      <c r="B51" s="39" t="s">
        <v>895</v>
      </c>
      <c r="C51" s="197" t="s">
        <v>364</v>
      </c>
      <c r="D51" s="54"/>
      <c r="E51" s="54">
        <v>4</v>
      </c>
      <c r="F51" s="54">
        <v>5</v>
      </c>
      <c r="G51" s="117"/>
    </row>
    <row r="52" spans="1:7" s="40" customFormat="1" ht="21" customHeight="1" x14ac:dyDescent="0.2">
      <c r="A52" s="35" t="s">
        <v>896</v>
      </c>
      <c r="B52" s="35" t="s">
        <v>897</v>
      </c>
      <c r="C52" s="197" t="s">
        <v>79</v>
      </c>
      <c r="D52" s="54"/>
      <c r="E52" s="54">
        <v>4</v>
      </c>
      <c r="F52" s="54">
        <v>5</v>
      </c>
      <c r="G52" s="116"/>
    </row>
    <row r="53" spans="1:7" s="39" customFormat="1" ht="21" customHeight="1" x14ac:dyDescent="0.2">
      <c r="A53" s="39" t="s">
        <v>898</v>
      </c>
      <c r="B53" s="39" t="s">
        <v>899</v>
      </c>
      <c r="C53" s="197" t="s">
        <v>364</v>
      </c>
      <c r="D53" s="54"/>
      <c r="E53" s="54">
        <v>4</v>
      </c>
      <c r="F53" s="54">
        <v>5</v>
      </c>
      <c r="G53" s="117"/>
    </row>
    <row r="54" spans="1:7" s="29" customFormat="1" ht="21" customHeight="1" x14ac:dyDescent="0.2">
      <c r="A54" s="28" t="s">
        <v>900</v>
      </c>
      <c r="B54" s="28"/>
    </row>
    <row r="55" spans="1:7" s="39" customFormat="1" ht="21" customHeight="1" x14ac:dyDescent="0.2">
      <c r="A55" s="39" t="s">
        <v>901</v>
      </c>
      <c r="B55" s="206" t="s">
        <v>902</v>
      </c>
      <c r="C55" s="197" t="s">
        <v>367</v>
      </c>
      <c r="D55" s="54"/>
      <c r="E55" s="54">
        <v>4</v>
      </c>
      <c r="F55" s="54">
        <v>5</v>
      </c>
      <c r="G55" s="117"/>
    </row>
    <row r="56" spans="1:7" s="40" customFormat="1" ht="21" customHeight="1" x14ac:dyDescent="0.2">
      <c r="A56" s="39" t="s">
        <v>903</v>
      </c>
      <c r="B56" s="207" t="s">
        <v>904</v>
      </c>
      <c r="C56" s="197" t="s">
        <v>79</v>
      </c>
      <c r="D56" s="54"/>
      <c r="E56" s="54">
        <v>4</v>
      </c>
      <c r="F56" s="54">
        <v>5</v>
      </c>
      <c r="G56" s="116"/>
    </row>
    <row r="57" spans="1:7" s="43" customFormat="1" ht="21" customHeight="1" x14ac:dyDescent="0.2">
      <c r="A57" s="39" t="s">
        <v>905</v>
      </c>
      <c r="B57" s="207" t="s">
        <v>906</v>
      </c>
      <c r="C57" s="197" t="s">
        <v>367</v>
      </c>
      <c r="D57" s="54"/>
      <c r="E57" s="54">
        <v>4</v>
      </c>
      <c r="F57" s="54">
        <v>5</v>
      </c>
      <c r="G57" s="118"/>
    </row>
    <row r="58" spans="1:7" s="29" customFormat="1" ht="21" customHeight="1" x14ac:dyDescent="0.2">
      <c r="A58" s="39" t="s">
        <v>907</v>
      </c>
      <c r="B58" s="39" t="s">
        <v>908</v>
      </c>
      <c r="C58" s="197" t="s">
        <v>98</v>
      </c>
      <c r="D58" s="54"/>
      <c r="E58" s="54">
        <v>4</v>
      </c>
      <c r="F58" s="54">
        <v>5</v>
      </c>
      <c r="G58" s="117"/>
    </row>
    <row r="59" spans="1:7" s="39" customFormat="1" ht="21" customHeight="1" x14ac:dyDescent="0.2">
      <c r="A59" s="39" t="s">
        <v>909</v>
      </c>
      <c r="B59" s="35" t="s">
        <v>910</v>
      </c>
      <c r="C59" s="197" t="s">
        <v>98</v>
      </c>
      <c r="D59" s="54"/>
      <c r="E59" s="54">
        <v>4</v>
      </c>
      <c r="F59" s="54">
        <v>5</v>
      </c>
      <c r="G59" s="116"/>
    </row>
    <row r="60" spans="1:7" s="40" customFormat="1" ht="21" customHeight="1" x14ac:dyDescent="0.2">
      <c r="A60" s="39" t="s">
        <v>911</v>
      </c>
      <c r="B60" s="43" t="s">
        <v>912</v>
      </c>
      <c r="C60" s="197" t="s">
        <v>98</v>
      </c>
      <c r="D60" s="54"/>
      <c r="E60" s="54">
        <v>4</v>
      </c>
      <c r="F60" s="54">
        <v>5</v>
      </c>
      <c r="G60" s="118"/>
    </row>
    <row r="61" spans="1:7" s="39" customFormat="1" ht="21" customHeight="1" x14ac:dyDescent="0.2">
      <c r="A61" s="39" t="s">
        <v>913</v>
      </c>
      <c r="B61" s="53" t="s">
        <v>914</v>
      </c>
      <c r="C61" s="197" t="s">
        <v>98</v>
      </c>
      <c r="D61" s="54"/>
      <c r="E61" s="54">
        <v>4</v>
      </c>
      <c r="F61" s="54">
        <v>5</v>
      </c>
      <c r="G61" s="119"/>
    </row>
    <row r="62" spans="1:7" s="40" customFormat="1" ht="21" customHeight="1" x14ac:dyDescent="0.2">
      <c r="A62" s="28" t="s">
        <v>915</v>
      </c>
      <c r="B62" s="28"/>
      <c r="C62" s="29"/>
      <c r="D62" s="29"/>
      <c r="E62" s="29"/>
      <c r="F62" s="29"/>
      <c r="G62" s="29"/>
    </row>
    <row r="63" spans="1:7" s="39" customFormat="1" ht="21" customHeight="1" x14ac:dyDescent="0.2">
      <c r="A63" s="39" t="s">
        <v>916</v>
      </c>
      <c r="B63" s="39" t="s">
        <v>917</v>
      </c>
      <c r="C63" s="197" t="s">
        <v>98</v>
      </c>
      <c r="D63" s="54"/>
      <c r="E63" s="54">
        <v>4</v>
      </c>
      <c r="F63" s="54">
        <v>5</v>
      </c>
      <c r="G63" s="117"/>
    </row>
    <row r="64" spans="1:7" s="40" customFormat="1" ht="21" customHeight="1" x14ac:dyDescent="0.2">
      <c r="A64" s="35" t="s">
        <v>918</v>
      </c>
      <c r="B64" s="40" t="s">
        <v>919</v>
      </c>
      <c r="C64" s="197" t="s">
        <v>98</v>
      </c>
      <c r="D64" s="54"/>
      <c r="E64" s="54">
        <v>4</v>
      </c>
      <c r="F64" s="54">
        <v>5</v>
      </c>
      <c r="G64" s="116" t="s">
        <v>1533</v>
      </c>
    </row>
    <row r="65" spans="1:7" s="39" customFormat="1" ht="21" customHeight="1" x14ac:dyDescent="0.2">
      <c r="A65" s="39" t="s">
        <v>920</v>
      </c>
      <c r="B65" s="39" t="s">
        <v>921</v>
      </c>
      <c r="C65" s="197" t="s">
        <v>98</v>
      </c>
      <c r="D65" s="54"/>
      <c r="E65" s="54">
        <v>4</v>
      </c>
      <c r="F65" s="54">
        <v>5</v>
      </c>
      <c r="G65" s="117"/>
    </row>
    <row r="66" spans="1:7" s="40" customFormat="1" ht="21" customHeight="1" x14ac:dyDescent="0.2">
      <c r="A66" s="35" t="s">
        <v>922</v>
      </c>
      <c r="B66" s="40" t="s">
        <v>923</v>
      </c>
      <c r="C66" s="197" t="s">
        <v>98</v>
      </c>
      <c r="D66" s="54"/>
      <c r="E66" s="54">
        <v>4</v>
      </c>
      <c r="F66" s="54">
        <v>5</v>
      </c>
      <c r="G66" s="116"/>
    </row>
    <row r="67" spans="1:7" s="39" customFormat="1" ht="21" customHeight="1" x14ac:dyDescent="0.2">
      <c r="A67" s="39" t="s">
        <v>924</v>
      </c>
      <c r="B67" s="39" t="s">
        <v>925</v>
      </c>
      <c r="C67" s="197" t="s">
        <v>98</v>
      </c>
      <c r="D67" s="54"/>
      <c r="E67" s="54">
        <v>4</v>
      </c>
      <c r="F67" s="54">
        <v>5</v>
      </c>
      <c r="G67" s="117"/>
    </row>
    <row r="68" spans="1:7" s="40" customFormat="1" ht="21" customHeight="1" x14ac:dyDescent="0.2">
      <c r="A68" s="35" t="s">
        <v>926</v>
      </c>
      <c r="B68" s="40" t="s">
        <v>927</v>
      </c>
      <c r="C68" s="197" t="s">
        <v>98</v>
      </c>
      <c r="D68" s="54"/>
      <c r="E68" s="54">
        <v>4</v>
      </c>
      <c r="F68" s="54">
        <v>5</v>
      </c>
      <c r="G68" s="116"/>
    </row>
    <row r="69" spans="1:7" s="39" customFormat="1" ht="21" customHeight="1" x14ac:dyDescent="0.2">
      <c r="A69" s="39" t="s">
        <v>928</v>
      </c>
      <c r="B69" s="39" t="s">
        <v>929</v>
      </c>
      <c r="C69" s="197" t="s">
        <v>98</v>
      </c>
      <c r="D69" s="54"/>
      <c r="E69" s="54">
        <v>4</v>
      </c>
      <c r="F69" s="54">
        <v>5</v>
      </c>
      <c r="G69" s="117"/>
    </row>
    <row r="70" spans="1:7" s="40" customFormat="1" ht="21" customHeight="1" x14ac:dyDescent="0.2">
      <c r="A70" s="35" t="s">
        <v>930</v>
      </c>
      <c r="B70" s="40" t="s">
        <v>931</v>
      </c>
      <c r="C70" s="197" t="s">
        <v>373</v>
      </c>
      <c r="D70" s="54"/>
      <c r="E70" s="54">
        <v>4</v>
      </c>
      <c r="F70" s="54">
        <v>5</v>
      </c>
      <c r="G70" s="116" t="s">
        <v>31</v>
      </c>
    </row>
    <row r="71" spans="1:7" s="39" customFormat="1" ht="21" customHeight="1" x14ac:dyDescent="0.2">
      <c r="A71" s="39" t="s">
        <v>932</v>
      </c>
      <c r="B71" s="39" t="s">
        <v>933</v>
      </c>
      <c r="C71" s="197" t="s">
        <v>373</v>
      </c>
      <c r="D71" s="54"/>
      <c r="E71" s="54">
        <v>4</v>
      </c>
      <c r="F71" s="54">
        <v>5</v>
      </c>
      <c r="G71" s="114" t="s">
        <v>31</v>
      </c>
    </row>
    <row r="72" spans="1:7" s="40" customFormat="1" ht="21" customHeight="1" x14ac:dyDescent="0.2">
      <c r="A72" s="35" t="s">
        <v>934</v>
      </c>
      <c r="B72" s="40" t="s">
        <v>935</v>
      </c>
      <c r="C72" s="197" t="s">
        <v>98</v>
      </c>
      <c r="D72" s="54"/>
      <c r="E72" s="54">
        <v>4</v>
      </c>
      <c r="F72" s="54">
        <v>5</v>
      </c>
      <c r="G72" s="116"/>
    </row>
    <row r="73" spans="1:7" s="39" customFormat="1" ht="21" customHeight="1" x14ac:dyDescent="0.2">
      <c r="A73" s="39" t="s">
        <v>936</v>
      </c>
      <c r="B73" s="39" t="s">
        <v>937</v>
      </c>
      <c r="C73" s="197" t="s">
        <v>98</v>
      </c>
      <c r="D73" s="54"/>
      <c r="E73" s="54">
        <v>4</v>
      </c>
      <c r="F73" s="54">
        <v>5</v>
      </c>
      <c r="G73" s="117"/>
    </row>
    <row r="74" spans="1:7" s="40" customFormat="1" ht="21" customHeight="1" x14ac:dyDescent="0.2">
      <c r="A74" s="35" t="s">
        <v>938</v>
      </c>
      <c r="B74" s="40" t="s">
        <v>939</v>
      </c>
      <c r="C74" s="197" t="s">
        <v>98</v>
      </c>
      <c r="D74" s="54"/>
      <c r="E74" s="54">
        <v>4</v>
      </c>
      <c r="F74" s="54">
        <v>5</v>
      </c>
      <c r="G74" s="116"/>
    </row>
    <row r="75" spans="1:7" s="39" customFormat="1" ht="21" customHeight="1" x14ac:dyDescent="0.2">
      <c r="A75" s="39" t="s">
        <v>940</v>
      </c>
      <c r="B75" s="39" t="s">
        <v>941</v>
      </c>
      <c r="C75" s="197" t="s">
        <v>98</v>
      </c>
      <c r="D75" s="54"/>
      <c r="E75" s="54">
        <v>4</v>
      </c>
      <c r="F75" s="54">
        <v>5</v>
      </c>
      <c r="G75" s="117"/>
    </row>
    <row r="76" spans="1:7" s="40" customFormat="1" ht="21" customHeight="1" x14ac:dyDescent="0.2">
      <c r="A76" s="35" t="s">
        <v>942</v>
      </c>
      <c r="B76" s="40" t="s">
        <v>943</v>
      </c>
      <c r="C76" s="197" t="s">
        <v>373</v>
      </c>
      <c r="D76" s="54"/>
      <c r="E76" s="54">
        <v>4</v>
      </c>
      <c r="F76" s="54">
        <v>5</v>
      </c>
      <c r="G76" s="116"/>
    </row>
    <row r="77" spans="1:7" s="39" customFormat="1" ht="21" customHeight="1" x14ac:dyDescent="0.2">
      <c r="A77" s="39" t="s">
        <v>944</v>
      </c>
      <c r="B77" s="39" t="s">
        <v>945</v>
      </c>
      <c r="C77" s="197" t="s">
        <v>373</v>
      </c>
      <c r="D77" s="54"/>
      <c r="E77" s="54">
        <v>4</v>
      </c>
      <c r="F77" s="54">
        <v>5</v>
      </c>
      <c r="G77" s="117"/>
    </row>
    <row r="78" spans="1:7" s="40" customFormat="1" ht="21" customHeight="1" x14ac:dyDescent="0.2">
      <c r="A78" s="35" t="s">
        <v>946</v>
      </c>
      <c r="B78" s="40" t="s">
        <v>947</v>
      </c>
      <c r="C78" s="197" t="s">
        <v>98</v>
      </c>
      <c r="D78" s="54"/>
      <c r="E78" s="54">
        <v>4</v>
      </c>
      <c r="F78" s="54">
        <v>5</v>
      </c>
      <c r="G78" s="116"/>
    </row>
    <row r="79" spans="1:7" s="39" customFormat="1" ht="21" customHeight="1" x14ac:dyDescent="0.2">
      <c r="A79" s="39" t="s">
        <v>948</v>
      </c>
      <c r="B79" s="39" t="s">
        <v>949</v>
      </c>
      <c r="C79" s="197" t="s">
        <v>98</v>
      </c>
      <c r="D79" s="54"/>
      <c r="E79" s="54">
        <v>4</v>
      </c>
      <c r="F79" s="54">
        <v>5</v>
      </c>
      <c r="G79" s="117"/>
    </row>
    <row r="80" spans="1:7" s="40" customFormat="1" ht="21" customHeight="1" x14ac:dyDescent="0.2">
      <c r="A80" s="35" t="s">
        <v>950</v>
      </c>
      <c r="B80" s="40" t="s">
        <v>951</v>
      </c>
      <c r="C80" s="197" t="s">
        <v>98</v>
      </c>
      <c r="D80" s="54"/>
      <c r="E80" s="54">
        <v>4</v>
      </c>
      <c r="F80" s="54">
        <v>5</v>
      </c>
      <c r="G80" s="116"/>
    </row>
    <row r="81" spans="1:7" s="39" customFormat="1" ht="21" customHeight="1" x14ac:dyDescent="0.2">
      <c r="A81" s="39" t="s">
        <v>952</v>
      </c>
      <c r="B81" s="39" t="s">
        <v>953</v>
      </c>
      <c r="C81" s="197" t="s">
        <v>98</v>
      </c>
      <c r="D81" s="54"/>
      <c r="E81" s="54">
        <v>4</v>
      </c>
      <c r="F81" s="54">
        <v>5</v>
      </c>
      <c r="G81" s="117"/>
    </row>
    <row r="82" spans="1:7" s="40" customFormat="1" ht="21" customHeight="1" x14ac:dyDescent="0.2">
      <c r="A82" s="35" t="s">
        <v>954</v>
      </c>
      <c r="B82" s="40" t="s">
        <v>955</v>
      </c>
      <c r="C82" s="197" t="s">
        <v>98</v>
      </c>
      <c r="D82" s="54"/>
      <c r="E82" s="54">
        <v>4</v>
      </c>
      <c r="F82" s="54">
        <v>5</v>
      </c>
      <c r="G82" s="116"/>
    </row>
    <row r="83" spans="1:7" s="39" customFormat="1" ht="21" customHeight="1" x14ac:dyDescent="0.2">
      <c r="A83" s="39" t="s">
        <v>956</v>
      </c>
      <c r="B83" s="39" t="s">
        <v>957</v>
      </c>
      <c r="C83" s="197" t="s">
        <v>98</v>
      </c>
      <c r="D83" s="54"/>
      <c r="E83" s="54">
        <v>4</v>
      </c>
      <c r="F83" s="54">
        <v>5</v>
      </c>
      <c r="G83" s="117"/>
    </row>
    <row r="84" spans="1:7" s="40" customFormat="1" ht="21" customHeight="1" x14ac:dyDescent="0.2">
      <c r="A84" s="35" t="s">
        <v>958</v>
      </c>
      <c r="B84" s="40" t="s">
        <v>959</v>
      </c>
      <c r="C84" s="197" t="s">
        <v>98</v>
      </c>
      <c r="D84" s="54"/>
      <c r="E84" s="54">
        <v>4</v>
      </c>
      <c r="F84" s="54">
        <v>5</v>
      </c>
      <c r="G84" s="116"/>
    </row>
    <row r="85" spans="1:7" s="39" customFormat="1" ht="21" customHeight="1" x14ac:dyDescent="0.2">
      <c r="A85" s="39" t="s">
        <v>960</v>
      </c>
      <c r="B85" s="39" t="s">
        <v>961</v>
      </c>
      <c r="C85" s="197" t="s">
        <v>373</v>
      </c>
      <c r="D85" s="54"/>
      <c r="E85" s="54">
        <v>4</v>
      </c>
      <c r="F85" s="54">
        <v>5</v>
      </c>
      <c r="G85" s="117"/>
    </row>
    <row r="86" spans="1:7" s="40" customFormat="1" ht="21" customHeight="1" x14ac:dyDescent="0.2">
      <c r="A86" s="35" t="s">
        <v>962</v>
      </c>
      <c r="B86" s="40" t="s">
        <v>963</v>
      </c>
      <c r="C86" s="197" t="s">
        <v>370</v>
      </c>
      <c r="D86" s="54"/>
      <c r="E86" s="54">
        <v>4</v>
      </c>
      <c r="F86" s="54">
        <v>5</v>
      </c>
      <c r="G86" s="116"/>
    </row>
    <row r="87" spans="1:7" s="39" customFormat="1" ht="21" customHeight="1" x14ac:dyDescent="0.2">
      <c r="A87" s="39" t="s">
        <v>964</v>
      </c>
      <c r="B87" s="39" t="s">
        <v>965</v>
      </c>
      <c r="C87" s="197" t="s">
        <v>370</v>
      </c>
      <c r="D87" s="54"/>
      <c r="E87" s="54">
        <v>4</v>
      </c>
      <c r="F87" s="54">
        <v>5</v>
      </c>
      <c r="G87" s="117"/>
    </row>
    <row r="88" spans="1:7" s="40" customFormat="1" ht="21" customHeight="1" x14ac:dyDescent="0.2">
      <c r="A88" s="35" t="s">
        <v>966</v>
      </c>
      <c r="B88" s="40" t="s">
        <v>469</v>
      </c>
      <c r="C88" s="197" t="s">
        <v>98</v>
      </c>
      <c r="D88" s="54"/>
      <c r="E88" s="54">
        <v>4</v>
      </c>
      <c r="F88" s="54">
        <v>5</v>
      </c>
      <c r="G88" s="116"/>
    </row>
    <row r="89" spans="1:7" s="39" customFormat="1" ht="21" customHeight="1" x14ac:dyDescent="0.2">
      <c r="A89" s="39" t="s">
        <v>967</v>
      </c>
      <c r="B89" s="39" t="s">
        <v>968</v>
      </c>
      <c r="C89" s="197" t="s">
        <v>98</v>
      </c>
      <c r="D89" s="54"/>
      <c r="E89" s="54">
        <v>4</v>
      </c>
      <c r="F89" s="54">
        <v>5</v>
      </c>
      <c r="G89" s="117"/>
    </row>
    <row r="90" spans="1:7" s="40" customFormat="1" ht="21" customHeight="1" x14ac:dyDescent="0.2">
      <c r="A90" s="35" t="s">
        <v>969</v>
      </c>
      <c r="B90" s="40" t="s">
        <v>970</v>
      </c>
      <c r="C90" s="197" t="s">
        <v>98</v>
      </c>
      <c r="D90" s="54"/>
      <c r="E90" s="54">
        <v>4</v>
      </c>
      <c r="F90" s="54">
        <v>5</v>
      </c>
      <c r="G90" s="116"/>
    </row>
    <row r="91" spans="1:7" s="39" customFormat="1" ht="21" customHeight="1" x14ac:dyDescent="0.2">
      <c r="A91" s="39" t="s">
        <v>971</v>
      </c>
      <c r="B91" s="39" t="s">
        <v>972</v>
      </c>
      <c r="C91" s="197" t="s">
        <v>98</v>
      </c>
      <c r="D91" s="54"/>
      <c r="E91" s="54">
        <v>4</v>
      </c>
      <c r="F91" s="54">
        <v>5</v>
      </c>
      <c r="G91" s="117"/>
    </row>
    <row r="92" spans="1:7" s="40" customFormat="1" ht="21" customHeight="1" x14ac:dyDescent="0.2">
      <c r="A92" s="35" t="s">
        <v>973</v>
      </c>
      <c r="B92" s="40" t="s">
        <v>974</v>
      </c>
      <c r="C92" s="197" t="s">
        <v>98</v>
      </c>
      <c r="D92" s="54"/>
      <c r="E92" s="54">
        <v>4</v>
      </c>
      <c r="F92" s="54">
        <v>5</v>
      </c>
      <c r="G92" s="116"/>
    </row>
    <row r="93" spans="1:7" s="39" customFormat="1" ht="21" customHeight="1" x14ac:dyDescent="0.2">
      <c r="A93" s="39" t="s">
        <v>975</v>
      </c>
      <c r="B93" s="39" t="s">
        <v>976</v>
      </c>
      <c r="C93" s="197" t="s">
        <v>79</v>
      </c>
      <c r="D93" s="54"/>
      <c r="E93" s="54">
        <v>4</v>
      </c>
      <c r="F93" s="54">
        <v>5</v>
      </c>
      <c r="G93" s="117"/>
    </row>
    <row r="94" spans="1:7" s="40" customFormat="1" ht="21" customHeight="1" x14ac:dyDescent="0.2">
      <c r="A94" s="35" t="s">
        <v>977</v>
      </c>
      <c r="B94" s="40" t="s">
        <v>978</v>
      </c>
      <c r="C94" s="197" t="s">
        <v>98</v>
      </c>
      <c r="D94" s="54"/>
      <c r="E94" s="54">
        <v>4</v>
      </c>
      <c r="F94" s="54">
        <v>5</v>
      </c>
      <c r="G94" s="116"/>
    </row>
    <row r="95" spans="1:7" s="39" customFormat="1" ht="21" customHeight="1" x14ac:dyDescent="0.2">
      <c r="A95" s="39" t="s">
        <v>979</v>
      </c>
      <c r="B95" s="39" t="s">
        <v>980</v>
      </c>
      <c r="C95" s="197" t="s">
        <v>364</v>
      </c>
      <c r="D95" s="54"/>
      <c r="E95" s="54">
        <v>4</v>
      </c>
      <c r="F95" s="54">
        <v>5</v>
      </c>
      <c r="G95" s="117"/>
    </row>
    <row r="96" spans="1:7" s="40" customFormat="1" ht="21" customHeight="1" x14ac:dyDescent="0.2">
      <c r="A96" s="35" t="s">
        <v>981</v>
      </c>
      <c r="B96" s="40" t="s">
        <v>982</v>
      </c>
      <c r="C96" s="197" t="s">
        <v>98</v>
      </c>
      <c r="D96" s="54"/>
      <c r="E96" s="54">
        <v>4</v>
      </c>
      <c r="F96" s="54">
        <v>5</v>
      </c>
      <c r="G96" s="116"/>
    </row>
    <row r="97" spans="1:7" s="29" customFormat="1" ht="21" customHeight="1" x14ac:dyDescent="0.2">
      <c r="A97" s="39" t="s">
        <v>983</v>
      </c>
      <c r="B97" s="39" t="s">
        <v>984</v>
      </c>
      <c r="C97" s="197" t="s">
        <v>98</v>
      </c>
      <c r="D97" s="54"/>
      <c r="E97" s="54">
        <v>4</v>
      </c>
      <c r="F97" s="54">
        <v>5</v>
      </c>
      <c r="G97" s="117"/>
    </row>
    <row r="98" spans="1:7" s="40" customFormat="1" ht="21" customHeight="1" x14ac:dyDescent="0.2">
      <c r="A98" s="35" t="s">
        <v>985</v>
      </c>
      <c r="B98" s="40" t="s">
        <v>986</v>
      </c>
      <c r="C98" s="197" t="s">
        <v>98</v>
      </c>
      <c r="D98" s="54"/>
      <c r="E98" s="54">
        <v>4</v>
      </c>
      <c r="F98" s="54">
        <v>5</v>
      </c>
      <c r="G98" s="116"/>
    </row>
    <row r="99" spans="1:7" s="39" customFormat="1" ht="21" customHeight="1" x14ac:dyDescent="0.2">
      <c r="A99" s="39" t="s">
        <v>987</v>
      </c>
      <c r="B99" s="39" t="s">
        <v>988</v>
      </c>
      <c r="C99" s="197" t="s">
        <v>79</v>
      </c>
      <c r="D99" s="54"/>
      <c r="E99" s="54">
        <v>4</v>
      </c>
      <c r="F99" s="54">
        <v>5</v>
      </c>
      <c r="G99" s="117"/>
    </row>
    <row r="100" spans="1:7" s="40" customFormat="1" ht="21" customHeight="1" x14ac:dyDescent="0.2">
      <c r="A100" s="35" t="s">
        <v>989</v>
      </c>
      <c r="B100" s="40" t="s">
        <v>990</v>
      </c>
      <c r="C100" s="197" t="s">
        <v>98</v>
      </c>
      <c r="D100" s="54"/>
      <c r="E100" s="54">
        <v>4</v>
      </c>
      <c r="F100" s="54">
        <v>5</v>
      </c>
      <c r="G100" s="116"/>
    </row>
    <row r="101" spans="1:7" s="39" customFormat="1" ht="21" customHeight="1" x14ac:dyDescent="0.2">
      <c r="A101" s="28" t="s">
        <v>991</v>
      </c>
      <c r="B101" s="28"/>
      <c r="C101" s="29"/>
      <c r="D101" s="29"/>
      <c r="E101" s="29"/>
      <c r="F101" s="29"/>
      <c r="G101" s="29"/>
    </row>
    <row r="102" spans="1:7" s="40" customFormat="1" ht="21" customHeight="1" x14ac:dyDescent="0.2">
      <c r="A102" s="35" t="s">
        <v>992</v>
      </c>
      <c r="B102" s="40" t="s">
        <v>993</v>
      </c>
      <c r="C102" s="197" t="s">
        <v>98</v>
      </c>
      <c r="D102" s="54"/>
      <c r="E102" s="54">
        <v>4</v>
      </c>
      <c r="F102" s="54">
        <v>5</v>
      </c>
      <c r="G102" s="116"/>
    </row>
    <row r="103" spans="1:7" s="39" customFormat="1" ht="21" customHeight="1" x14ac:dyDescent="0.2">
      <c r="A103" s="39" t="s">
        <v>994</v>
      </c>
      <c r="B103" s="39" t="s">
        <v>995</v>
      </c>
      <c r="C103" s="197" t="s">
        <v>98</v>
      </c>
      <c r="D103" s="54"/>
      <c r="E103" s="54">
        <v>4</v>
      </c>
      <c r="F103" s="54">
        <v>5</v>
      </c>
      <c r="G103" s="117"/>
    </row>
    <row r="104" spans="1:7" s="40" customFormat="1" ht="21" customHeight="1" x14ac:dyDescent="0.2">
      <c r="A104" s="35" t="s">
        <v>996</v>
      </c>
      <c r="B104" s="40" t="s">
        <v>997</v>
      </c>
      <c r="C104" s="197" t="s">
        <v>98</v>
      </c>
      <c r="D104" s="54"/>
      <c r="E104" s="54">
        <v>4</v>
      </c>
      <c r="F104" s="54">
        <v>5</v>
      </c>
      <c r="G104" s="116"/>
    </row>
    <row r="105" spans="1:7" s="39" customFormat="1" ht="21" customHeight="1" x14ac:dyDescent="0.2">
      <c r="A105" s="39" t="s">
        <v>998</v>
      </c>
      <c r="B105" s="39" t="s">
        <v>999</v>
      </c>
      <c r="C105" s="197" t="s">
        <v>370</v>
      </c>
      <c r="D105" s="54"/>
      <c r="E105" s="54">
        <v>4</v>
      </c>
      <c r="F105" s="54">
        <v>5</v>
      </c>
      <c r="G105" s="117"/>
    </row>
    <row r="106" spans="1:7" s="40" customFormat="1" ht="21" customHeight="1" x14ac:dyDescent="0.2">
      <c r="A106" s="35" t="s">
        <v>1000</v>
      </c>
      <c r="B106" s="40" t="s">
        <v>1001</v>
      </c>
      <c r="C106" s="197" t="s">
        <v>98</v>
      </c>
      <c r="D106" s="54"/>
      <c r="E106" s="54">
        <v>4</v>
      </c>
      <c r="F106" s="54">
        <v>5</v>
      </c>
      <c r="G106" s="116"/>
    </row>
    <row r="107" spans="1:7" s="39" customFormat="1" ht="21" customHeight="1" x14ac:dyDescent="0.2">
      <c r="A107" s="39" t="s">
        <v>1002</v>
      </c>
      <c r="B107" s="39" t="s">
        <v>1003</v>
      </c>
      <c r="C107" s="197" t="s">
        <v>98</v>
      </c>
      <c r="D107" s="54"/>
      <c r="E107" s="54">
        <v>4</v>
      </c>
      <c r="F107" s="54">
        <v>5</v>
      </c>
      <c r="G107" s="117"/>
    </row>
    <row r="108" spans="1:7" s="40" customFormat="1" ht="21" customHeight="1" x14ac:dyDescent="0.2">
      <c r="A108" s="35" t="s">
        <v>1004</v>
      </c>
      <c r="B108" s="40" t="s">
        <v>1005</v>
      </c>
      <c r="C108" s="197" t="s">
        <v>98</v>
      </c>
      <c r="D108" s="54"/>
      <c r="E108" s="54">
        <v>4</v>
      </c>
      <c r="F108" s="54">
        <v>5</v>
      </c>
      <c r="G108" s="116"/>
    </row>
    <row r="109" spans="1:7" s="39" customFormat="1" ht="21" customHeight="1" x14ac:dyDescent="0.2">
      <c r="A109" s="39" t="s">
        <v>1006</v>
      </c>
      <c r="B109" s="39" t="s">
        <v>1007</v>
      </c>
      <c r="C109" s="197" t="s">
        <v>373</v>
      </c>
      <c r="D109" s="54"/>
      <c r="E109" s="54">
        <v>4</v>
      </c>
      <c r="F109" s="54">
        <v>5</v>
      </c>
      <c r="G109" s="117"/>
    </row>
    <row r="110" spans="1:7" s="40" customFormat="1" ht="21" customHeight="1" x14ac:dyDescent="0.2">
      <c r="A110" s="35" t="s">
        <v>1008</v>
      </c>
      <c r="B110" s="40" t="s">
        <v>1009</v>
      </c>
      <c r="C110" s="197" t="s">
        <v>373</v>
      </c>
      <c r="D110" s="54"/>
      <c r="E110" s="54">
        <v>4</v>
      </c>
      <c r="F110" s="54">
        <v>5</v>
      </c>
      <c r="G110" s="116"/>
    </row>
    <row r="111" spans="1:7" s="39" customFormat="1" ht="21" customHeight="1" x14ac:dyDescent="0.2">
      <c r="A111" s="39" t="s">
        <v>1010</v>
      </c>
      <c r="B111" s="39" t="s">
        <v>1011</v>
      </c>
      <c r="C111" s="197" t="s">
        <v>373</v>
      </c>
      <c r="D111" s="54"/>
      <c r="E111" s="54">
        <v>4</v>
      </c>
      <c r="F111" s="54">
        <v>5</v>
      </c>
      <c r="G111" s="117"/>
    </row>
    <row r="112" spans="1:7" s="40" customFormat="1" ht="21" customHeight="1" x14ac:dyDescent="0.2">
      <c r="A112" s="35" t="s">
        <v>1012</v>
      </c>
      <c r="B112" s="40" t="s">
        <v>1013</v>
      </c>
      <c r="C112" s="197" t="s">
        <v>373</v>
      </c>
      <c r="D112" s="54"/>
      <c r="E112" s="54">
        <v>4</v>
      </c>
      <c r="F112" s="54">
        <v>5</v>
      </c>
      <c r="G112" s="116"/>
    </row>
    <row r="113" spans="1:7" s="39" customFormat="1" ht="21" customHeight="1" x14ac:dyDescent="0.2">
      <c r="A113" s="39" t="s">
        <v>1014</v>
      </c>
      <c r="B113" s="39" t="s">
        <v>1015</v>
      </c>
      <c r="C113" s="197" t="s">
        <v>98</v>
      </c>
      <c r="D113" s="54"/>
      <c r="E113" s="54">
        <v>4</v>
      </c>
      <c r="F113" s="54">
        <v>5</v>
      </c>
      <c r="G113" s="117"/>
    </row>
    <row r="114" spans="1:7" s="40" customFormat="1" ht="21" customHeight="1" x14ac:dyDescent="0.2">
      <c r="A114" s="35" t="s">
        <v>1016</v>
      </c>
      <c r="B114" s="40" t="s">
        <v>1017</v>
      </c>
      <c r="C114" s="197" t="s">
        <v>98</v>
      </c>
      <c r="D114" s="54"/>
      <c r="E114" s="54">
        <v>4</v>
      </c>
      <c r="F114" s="54">
        <v>5</v>
      </c>
      <c r="G114" s="116"/>
    </row>
    <row r="115" spans="1:7" s="39" customFormat="1" ht="21" customHeight="1" x14ac:dyDescent="0.2">
      <c r="A115" s="39" t="s">
        <v>1018</v>
      </c>
      <c r="B115" s="39" t="s">
        <v>1019</v>
      </c>
      <c r="C115" s="197" t="s">
        <v>98</v>
      </c>
      <c r="D115" s="54"/>
      <c r="E115" s="54">
        <v>4</v>
      </c>
      <c r="F115" s="54">
        <v>5</v>
      </c>
      <c r="G115" s="117"/>
    </row>
    <row r="116" spans="1:7" s="40" customFormat="1" ht="21" customHeight="1" x14ac:dyDescent="0.2">
      <c r="A116" s="35" t="s">
        <v>1020</v>
      </c>
      <c r="B116" s="40" t="s">
        <v>1021</v>
      </c>
      <c r="C116" s="197" t="s">
        <v>98</v>
      </c>
      <c r="D116" s="54"/>
      <c r="E116" s="54">
        <v>4</v>
      </c>
      <c r="F116" s="54">
        <v>5</v>
      </c>
      <c r="G116" s="116"/>
    </row>
    <row r="117" spans="1:7" s="39" customFormat="1" ht="21" customHeight="1" x14ac:dyDescent="0.2">
      <c r="A117" s="39" t="s">
        <v>1022</v>
      </c>
      <c r="B117" s="39" t="s">
        <v>1023</v>
      </c>
      <c r="C117" s="197" t="s">
        <v>98</v>
      </c>
      <c r="D117" s="54"/>
      <c r="E117" s="54">
        <v>4</v>
      </c>
      <c r="F117" s="54">
        <v>5</v>
      </c>
      <c r="G117" s="117"/>
    </row>
    <row r="118" spans="1:7" s="40" customFormat="1" ht="21" customHeight="1" x14ac:dyDescent="0.2">
      <c r="A118" s="35" t="s">
        <v>1024</v>
      </c>
      <c r="B118" s="40" t="s">
        <v>1025</v>
      </c>
      <c r="C118" s="197" t="s">
        <v>370</v>
      </c>
      <c r="D118" s="54"/>
      <c r="E118" s="54">
        <v>4</v>
      </c>
      <c r="F118" s="54">
        <v>5</v>
      </c>
      <c r="G118" s="116"/>
    </row>
    <row r="119" spans="1:7" s="39" customFormat="1" ht="21" customHeight="1" x14ac:dyDescent="0.2">
      <c r="A119" s="39" t="s">
        <v>1026</v>
      </c>
      <c r="B119" s="39" t="s">
        <v>1027</v>
      </c>
      <c r="C119" s="197" t="s">
        <v>98</v>
      </c>
      <c r="D119" s="54"/>
      <c r="E119" s="54">
        <v>4</v>
      </c>
      <c r="F119" s="54">
        <v>5</v>
      </c>
      <c r="G119" s="117"/>
    </row>
    <row r="120" spans="1:7" s="40" customFormat="1" ht="21" customHeight="1" x14ac:dyDescent="0.2">
      <c r="A120" s="35" t="s">
        <v>1028</v>
      </c>
      <c r="B120" s="40" t="s">
        <v>1029</v>
      </c>
      <c r="C120" s="197" t="s">
        <v>373</v>
      </c>
      <c r="D120" s="54"/>
      <c r="E120" s="54">
        <v>4</v>
      </c>
      <c r="F120" s="54">
        <v>5</v>
      </c>
      <c r="G120" s="116"/>
    </row>
    <row r="121" spans="1:7" s="39" customFormat="1" ht="21" customHeight="1" x14ac:dyDescent="0.2">
      <c r="A121" s="39" t="s">
        <v>1030</v>
      </c>
      <c r="B121" s="39" t="s">
        <v>1031</v>
      </c>
      <c r="C121" s="197" t="s">
        <v>98</v>
      </c>
      <c r="D121" s="54"/>
      <c r="E121" s="54">
        <v>4</v>
      </c>
      <c r="F121" s="54">
        <v>5</v>
      </c>
      <c r="G121" s="117"/>
    </row>
    <row r="122" spans="1:7" s="40" customFormat="1" ht="21" customHeight="1" x14ac:dyDescent="0.2">
      <c r="A122" s="35" t="s">
        <v>1032</v>
      </c>
      <c r="B122" s="40" t="s">
        <v>1033</v>
      </c>
      <c r="C122" s="197" t="s">
        <v>98</v>
      </c>
      <c r="D122" s="54"/>
      <c r="E122" s="54">
        <v>4</v>
      </c>
      <c r="F122" s="54">
        <v>5</v>
      </c>
      <c r="G122" s="116"/>
    </row>
    <row r="123" spans="1:7" s="39" customFormat="1" ht="21" customHeight="1" x14ac:dyDescent="0.2">
      <c r="A123" s="39" t="s">
        <v>1034</v>
      </c>
      <c r="B123" s="39" t="s">
        <v>1035</v>
      </c>
      <c r="C123" s="197" t="s">
        <v>98</v>
      </c>
      <c r="D123" s="54"/>
      <c r="E123" s="54">
        <v>4</v>
      </c>
      <c r="F123" s="54">
        <v>5</v>
      </c>
      <c r="G123" s="117"/>
    </row>
    <row r="124" spans="1:7" s="40" customFormat="1" ht="21" customHeight="1" x14ac:dyDescent="0.2">
      <c r="A124" s="35" t="s">
        <v>1036</v>
      </c>
      <c r="B124" s="40" t="s">
        <v>1037</v>
      </c>
      <c r="C124" s="197" t="s">
        <v>98</v>
      </c>
      <c r="D124" s="54"/>
      <c r="E124" s="54">
        <v>4</v>
      </c>
      <c r="F124" s="54">
        <v>5</v>
      </c>
      <c r="G124" s="116"/>
    </row>
    <row r="125" spans="1:7" s="39" customFormat="1" ht="21" customHeight="1" x14ac:dyDescent="0.2">
      <c r="A125" s="39" t="s">
        <v>1038</v>
      </c>
      <c r="B125" s="39" t="s">
        <v>1039</v>
      </c>
      <c r="C125" s="197" t="s">
        <v>98</v>
      </c>
      <c r="D125" s="54"/>
      <c r="E125" s="54">
        <v>4</v>
      </c>
      <c r="F125" s="54">
        <v>5</v>
      </c>
      <c r="G125" s="117"/>
    </row>
    <row r="126" spans="1:7" s="40" customFormat="1" ht="21" customHeight="1" x14ac:dyDescent="0.2">
      <c r="A126" s="35" t="s">
        <v>1040</v>
      </c>
      <c r="B126" s="40" t="s">
        <v>1041</v>
      </c>
      <c r="C126" s="197" t="s">
        <v>98</v>
      </c>
      <c r="D126" s="54"/>
      <c r="E126" s="54">
        <v>4</v>
      </c>
      <c r="F126" s="54">
        <v>5</v>
      </c>
      <c r="G126" s="116"/>
    </row>
    <row r="127" spans="1:7" s="39" customFormat="1" ht="21" customHeight="1" x14ac:dyDescent="0.2">
      <c r="A127" s="39" t="s">
        <v>1042</v>
      </c>
      <c r="B127" s="39" t="s">
        <v>1043</v>
      </c>
      <c r="C127" s="197" t="s">
        <v>98</v>
      </c>
      <c r="D127" s="54"/>
      <c r="E127" s="54">
        <v>4</v>
      </c>
      <c r="F127" s="54">
        <v>5</v>
      </c>
      <c r="G127" s="117"/>
    </row>
    <row r="128" spans="1:7" hidden="1" x14ac:dyDescent="0.2">
      <c r="A128" s="35" t="s">
        <v>1044</v>
      </c>
      <c r="B128" s="40" t="s">
        <v>1045</v>
      </c>
      <c r="C128" s="197"/>
      <c r="D128" s="54"/>
      <c r="E128" s="54">
        <v>4</v>
      </c>
      <c r="F128" s="54">
        <v>5</v>
      </c>
      <c r="G128" s="116"/>
    </row>
    <row r="129" spans="1:9" hidden="1" x14ac:dyDescent="0.2">
      <c r="A129" s="39" t="s">
        <v>1046</v>
      </c>
      <c r="B129" s="39" t="s">
        <v>1047</v>
      </c>
      <c r="C129" s="197"/>
      <c r="D129" s="54"/>
      <c r="E129" s="54">
        <v>4</v>
      </c>
      <c r="F129" s="54">
        <v>5</v>
      </c>
      <c r="G129" s="117"/>
    </row>
    <row r="130" spans="1:9" s="67" customFormat="1" hidden="1" x14ac:dyDescent="0.2">
      <c r="A130" s="35" t="s">
        <v>1048</v>
      </c>
      <c r="B130" s="40" t="s">
        <v>1049</v>
      </c>
      <c r="C130" s="197"/>
      <c r="D130" s="54"/>
      <c r="E130" s="54">
        <v>4</v>
      </c>
      <c r="F130" s="54">
        <v>5</v>
      </c>
      <c r="G130" s="116"/>
      <c r="H130" s="7"/>
      <c r="I130" s="7"/>
    </row>
    <row r="131" spans="1:9" s="67" customFormat="1" hidden="1" x14ac:dyDescent="0.2">
      <c r="A131" s="39" t="s">
        <v>1050</v>
      </c>
      <c r="B131" s="39" t="s">
        <v>1051</v>
      </c>
      <c r="C131" s="197"/>
      <c r="D131" s="54"/>
      <c r="E131" s="54">
        <v>4</v>
      </c>
      <c r="F131" s="54">
        <v>5</v>
      </c>
      <c r="G131" s="117"/>
      <c r="H131" s="20"/>
      <c r="I131" s="20"/>
    </row>
    <row r="132" spans="1:9" s="67" customFormat="1" hidden="1" x14ac:dyDescent="0.2">
      <c r="A132" s="3"/>
      <c r="B132" s="176"/>
      <c r="C132" s="34"/>
      <c r="D132" s="34"/>
      <c r="E132" s="34"/>
      <c r="F132" s="34"/>
      <c r="G132" s="34"/>
      <c r="H132" s="20"/>
      <c r="I132" s="20"/>
    </row>
    <row r="133" spans="1:9" s="67" customFormat="1" hidden="1" x14ac:dyDescent="0.2">
      <c r="A133" s="3"/>
      <c r="B133" s="176"/>
      <c r="C133" s="34"/>
      <c r="D133" s="34"/>
      <c r="E133" s="34"/>
      <c r="F133" s="34"/>
      <c r="G133" s="34"/>
      <c r="H133" s="20"/>
      <c r="I133" s="20"/>
    </row>
    <row r="134" spans="1:9" s="67" customFormat="1" hidden="1" x14ac:dyDescent="0.2">
      <c r="A134" s="185"/>
      <c r="B134" s="177" t="s">
        <v>165</v>
      </c>
      <c r="C134" s="7" t="e">
        <f>#REF!</f>
        <v>#REF!</v>
      </c>
      <c r="D134" s="7" t="e">
        <f t="shared" ref="D134" si="0">#REF!</f>
        <v>#REF!</v>
      </c>
      <c r="E134" s="7" t="e">
        <f t="shared" ref="E134" si="1">#REF!</f>
        <v>#REF!</v>
      </c>
      <c r="F134" s="7" t="e">
        <f t="shared" ref="F134" si="2">#REF!</f>
        <v>#REF!</v>
      </c>
      <c r="G134" s="7"/>
      <c r="H134" s="20"/>
      <c r="I134" s="20"/>
    </row>
    <row r="135" spans="1:9" s="67" customFormat="1" hidden="1" x14ac:dyDescent="0.2">
      <c r="A135" s="185"/>
      <c r="B135" s="32" t="str">
        <f>A4</f>
        <v>5.1 - Infrastructure Event Coverage</v>
      </c>
      <c r="C135" s="20">
        <f>SUM(C5:C13)</f>
        <v>0</v>
      </c>
      <c r="D135" s="20">
        <f>SUM(D5:D13)</f>
        <v>0</v>
      </c>
      <c r="E135" s="20">
        <f>SUM(E5:E13)</f>
        <v>36</v>
      </c>
      <c r="F135" s="20">
        <f>SUM(F5:F13)</f>
        <v>45</v>
      </c>
      <c r="G135" s="20"/>
      <c r="H135" s="20"/>
      <c r="I135" s="20"/>
    </row>
    <row r="136" spans="1:9" s="67" customFormat="1" hidden="1" x14ac:dyDescent="0.2">
      <c r="A136" s="185"/>
      <c r="B136" s="32" t="str">
        <f>A14</f>
        <v>5.2 - Security Devices Coverage</v>
      </c>
      <c r="C136" s="20">
        <f>SUM(C15:C30)</f>
        <v>0</v>
      </c>
      <c r="D136" s="20">
        <f>SUM(D15:D30)</f>
        <v>0</v>
      </c>
      <c r="E136" s="20">
        <f>SUM(E15:E30)</f>
        <v>64</v>
      </c>
      <c r="F136" s="20">
        <f>SUM(F15:F30)</f>
        <v>80</v>
      </c>
      <c r="G136" s="20"/>
      <c r="H136" s="20"/>
      <c r="I136" s="20"/>
    </row>
    <row r="137" spans="1:9" s="67" customFormat="1" hidden="1" x14ac:dyDescent="0.2">
      <c r="A137" s="185"/>
      <c r="B137" s="32" t="str">
        <f>A31</f>
        <v>5.3 - Advanced Threat Coverage</v>
      </c>
      <c r="C137" s="20">
        <f>SUM(C32:C39)</f>
        <v>0</v>
      </c>
      <c r="D137" s="20">
        <f>SUM(D32:D39)</f>
        <v>0</v>
      </c>
      <c r="E137" s="20">
        <f>SUM(E32:E39)</f>
        <v>32</v>
      </c>
      <c r="F137" s="20">
        <f>SUM(F32:F39)</f>
        <v>40</v>
      </c>
      <c r="G137" s="20"/>
      <c r="H137" s="74"/>
      <c r="I137" s="74"/>
    </row>
    <row r="138" spans="1:9" s="67" customFormat="1" ht="16" hidden="1" thickBot="1" x14ac:dyDescent="0.25">
      <c r="A138" s="185"/>
      <c r="B138" s="32" t="str">
        <f>A40</f>
        <v>5.4 - Network Device Coverage</v>
      </c>
      <c r="C138" s="20">
        <f>SUM(C41:C53)</f>
        <v>0</v>
      </c>
      <c r="D138" s="20">
        <f>SUM(D41:D53)</f>
        <v>0</v>
      </c>
      <c r="E138" s="20">
        <f>SUM(E41:E53)</f>
        <v>52</v>
      </c>
      <c r="F138" s="20">
        <f>SUM(F41:F53)</f>
        <v>65</v>
      </c>
      <c r="G138" s="20"/>
      <c r="H138" s="47"/>
      <c r="I138" s="47"/>
    </row>
    <row r="139" spans="1:9" s="67" customFormat="1" hidden="1" x14ac:dyDescent="0.2">
      <c r="A139" s="185"/>
      <c r="B139" s="32" t="str">
        <f>A54</f>
        <v>5.5 - Application Coverage</v>
      </c>
      <c r="C139" s="20">
        <f>SUM(C58:C61)</f>
        <v>0</v>
      </c>
      <c r="D139" s="20">
        <f t="shared" ref="D139:F139" si="3">SUM(D58:D61)</f>
        <v>0</v>
      </c>
      <c r="E139" s="20">
        <f t="shared" si="3"/>
        <v>16</v>
      </c>
      <c r="F139" s="20">
        <f t="shared" si="3"/>
        <v>20</v>
      </c>
      <c r="G139" s="20"/>
      <c r="H139" s="6"/>
      <c r="I139" s="6"/>
    </row>
    <row r="140" spans="1:9" s="67" customFormat="1" hidden="1" x14ac:dyDescent="0.2">
      <c r="A140" s="185"/>
      <c r="B140" s="32" t="str">
        <f>A62</f>
        <v>5.6 - Use Case Enablers</v>
      </c>
      <c r="C140" s="20">
        <f>SUM(C63:C100)</f>
        <v>0</v>
      </c>
      <c r="D140" s="20">
        <f t="shared" ref="D140:F140" si="4">SUM(D63:D100)</f>
        <v>0</v>
      </c>
      <c r="E140" s="20">
        <f t="shared" si="4"/>
        <v>152</v>
      </c>
      <c r="F140" s="20">
        <f t="shared" si="4"/>
        <v>190</v>
      </c>
      <c r="G140" s="20"/>
      <c r="H140" s="6"/>
      <c r="I140" s="6"/>
    </row>
    <row r="141" spans="1:9" s="67" customFormat="1" hidden="1" x14ac:dyDescent="0.2">
      <c r="A141" s="185"/>
      <c r="B141" s="44" t="str">
        <f>A101</f>
        <v>5.7 - Reports</v>
      </c>
      <c r="C141" s="20">
        <f>SUM(C102:C131)</f>
        <v>0</v>
      </c>
      <c r="D141" s="20">
        <f t="shared" ref="D141:F141" si="5">SUM(D102:D131)</f>
        <v>0</v>
      </c>
      <c r="E141" s="20">
        <f t="shared" si="5"/>
        <v>120</v>
      </c>
      <c r="F141" s="20">
        <f t="shared" si="5"/>
        <v>150</v>
      </c>
      <c r="G141" s="74"/>
      <c r="H141" s="7"/>
      <c r="I141" s="7"/>
    </row>
    <row r="142" spans="1:9" s="67" customFormat="1" ht="16" hidden="1" thickBot="1" x14ac:dyDescent="0.25">
      <c r="A142" s="185"/>
      <c r="B142" s="179" t="s">
        <v>166</v>
      </c>
      <c r="C142" s="47">
        <f>SUM(C135:C141)</f>
        <v>0</v>
      </c>
      <c r="D142" s="47">
        <f>SUM(D135:D141)</f>
        <v>0</v>
      </c>
      <c r="E142" s="47">
        <f>SUM(E135:E141)</f>
        <v>472</v>
      </c>
      <c r="F142" s="47">
        <f>SUM(F135:F141)</f>
        <v>590</v>
      </c>
      <c r="G142" s="47"/>
      <c r="H142" s="21"/>
      <c r="I142" s="14"/>
    </row>
    <row r="143" spans="1:9" s="67" customFormat="1" hidden="1" x14ac:dyDescent="0.2">
      <c r="A143" s="185"/>
      <c r="B143" s="180"/>
      <c r="C143" s="6"/>
      <c r="D143" s="6"/>
      <c r="E143" s="6"/>
      <c r="F143" s="6"/>
      <c r="G143" s="6"/>
      <c r="H143" s="21"/>
      <c r="I143" s="14"/>
    </row>
    <row r="144" spans="1:9" s="67" customFormat="1" hidden="1" x14ac:dyDescent="0.2">
      <c r="A144" s="185"/>
      <c r="B144" s="180"/>
      <c r="C144" s="6"/>
      <c r="D144" s="6"/>
      <c r="E144" s="6"/>
      <c r="F144" s="6"/>
      <c r="G144" s="6"/>
      <c r="H144" s="21"/>
      <c r="I144" s="14"/>
    </row>
    <row r="145" spans="1:9" s="67" customFormat="1" hidden="1" x14ac:dyDescent="0.2">
      <c r="A145" s="185"/>
      <c r="B145" s="177" t="s">
        <v>167</v>
      </c>
      <c r="C145" s="7" t="e">
        <f>C134</f>
        <v>#REF!</v>
      </c>
      <c r="D145" s="7" t="e">
        <f t="shared" ref="D145:F145" si="6">D134</f>
        <v>#REF!</v>
      </c>
      <c r="E145" s="7" t="e">
        <f t="shared" si="6"/>
        <v>#REF!</v>
      </c>
      <c r="F145" s="7" t="e">
        <f t="shared" si="6"/>
        <v>#REF!</v>
      </c>
      <c r="G145" s="7"/>
      <c r="H145" s="21"/>
      <c r="I145" s="14"/>
    </row>
    <row r="146" spans="1:9" s="67" customFormat="1" hidden="1" x14ac:dyDescent="0.2">
      <c r="A146" s="185"/>
      <c r="B146" s="32" t="str">
        <f>B135</f>
        <v>5.1 - Infrastructure Event Coverage</v>
      </c>
      <c r="C146" s="21">
        <f>C135/$F135</f>
        <v>0</v>
      </c>
      <c r="D146" s="21">
        <f t="shared" ref="D146:F146" si="7">D135/$F135</f>
        <v>0</v>
      </c>
      <c r="E146" s="21">
        <f t="shared" si="7"/>
        <v>0.8</v>
      </c>
      <c r="F146" s="21">
        <f t="shared" si="7"/>
        <v>1</v>
      </c>
      <c r="G146" s="21"/>
      <c r="H146" s="21"/>
      <c r="I146" s="14"/>
    </row>
    <row r="147" spans="1:9" s="67" customFormat="1" hidden="1" x14ac:dyDescent="0.2">
      <c r="A147" s="185"/>
      <c r="B147" s="32" t="str">
        <f t="shared" ref="B147:B153" si="8">B136</f>
        <v>5.2 - Security Devices Coverage</v>
      </c>
      <c r="C147" s="21">
        <f t="shared" ref="C147:F147" si="9">C136/$F136</f>
        <v>0</v>
      </c>
      <c r="D147" s="21">
        <f t="shared" si="9"/>
        <v>0</v>
      </c>
      <c r="E147" s="21">
        <f t="shared" si="9"/>
        <v>0.8</v>
      </c>
      <c r="F147" s="21">
        <f t="shared" si="9"/>
        <v>1</v>
      </c>
      <c r="G147" s="21"/>
      <c r="H147" s="21"/>
      <c r="I147" s="14"/>
    </row>
    <row r="148" spans="1:9" s="67" customFormat="1" hidden="1" x14ac:dyDescent="0.2">
      <c r="A148" s="185"/>
      <c r="B148" s="32" t="str">
        <f t="shared" si="8"/>
        <v>5.3 - Advanced Threat Coverage</v>
      </c>
      <c r="C148" s="21">
        <f t="shared" ref="C148:F148" si="10">C137/$F137</f>
        <v>0</v>
      </c>
      <c r="D148" s="21">
        <f t="shared" si="10"/>
        <v>0</v>
      </c>
      <c r="E148" s="21">
        <f t="shared" si="10"/>
        <v>0.8</v>
      </c>
      <c r="F148" s="21">
        <f t="shared" si="10"/>
        <v>1</v>
      </c>
      <c r="G148" s="21"/>
    </row>
    <row r="149" spans="1:9" s="67" customFormat="1" hidden="1" x14ac:dyDescent="0.2">
      <c r="A149" s="185"/>
      <c r="B149" s="32" t="str">
        <f t="shared" si="8"/>
        <v>5.4 - Network Device Coverage</v>
      </c>
      <c r="C149" s="21">
        <f t="shared" ref="C149:F149" si="11">C138/$F138</f>
        <v>0</v>
      </c>
      <c r="D149" s="21">
        <f t="shared" si="11"/>
        <v>0</v>
      </c>
      <c r="E149" s="21">
        <f t="shared" si="11"/>
        <v>0.8</v>
      </c>
      <c r="F149" s="21">
        <f t="shared" si="11"/>
        <v>1</v>
      </c>
      <c r="G149" s="21"/>
    </row>
    <row r="150" spans="1:9" hidden="1" x14ac:dyDescent="0.2">
      <c r="A150" s="185"/>
      <c r="B150" s="32" t="str">
        <f t="shared" si="8"/>
        <v>5.5 - Application Coverage</v>
      </c>
      <c r="C150" s="21">
        <f t="shared" ref="C150:F150" si="12">C139/$F139</f>
        <v>0</v>
      </c>
      <c r="D150" s="21">
        <f t="shared" si="12"/>
        <v>0</v>
      </c>
      <c r="E150" s="21">
        <f t="shared" si="12"/>
        <v>0.8</v>
      </c>
      <c r="F150" s="21">
        <f t="shared" si="12"/>
        <v>1</v>
      </c>
      <c r="G150" s="21"/>
    </row>
    <row r="151" spans="1:9" x14ac:dyDescent="0.2">
      <c r="A151" s="185"/>
      <c r="B151" s="32" t="str">
        <f t="shared" si="8"/>
        <v>5.6 - Use Case Enablers</v>
      </c>
      <c r="C151" s="21">
        <f t="shared" ref="C151:F151" si="13">C140/$F140</f>
        <v>0</v>
      </c>
      <c r="D151" s="21">
        <f t="shared" si="13"/>
        <v>0</v>
      </c>
      <c r="E151" s="21">
        <f t="shared" si="13"/>
        <v>0.8</v>
      </c>
      <c r="F151" s="21">
        <f t="shared" si="13"/>
        <v>1</v>
      </c>
      <c r="G151" s="21"/>
    </row>
    <row r="152" spans="1:9" x14ac:dyDescent="0.2">
      <c r="A152" s="185"/>
      <c r="B152" s="32" t="str">
        <f t="shared" si="8"/>
        <v>5.7 - Reports</v>
      </c>
      <c r="C152" s="21">
        <f t="shared" ref="C152:F152" si="14">C141/$F141</f>
        <v>0</v>
      </c>
      <c r="D152" s="21">
        <f t="shared" si="14"/>
        <v>0</v>
      </c>
      <c r="E152" s="21">
        <f t="shared" si="14"/>
        <v>0.8</v>
      </c>
      <c r="F152" s="21">
        <f t="shared" si="14"/>
        <v>1</v>
      </c>
      <c r="G152" s="67"/>
    </row>
    <row r="153" spans="1:9" x14ac:dyDescent="0.2">
      <c r="A153" s="185"/>
      <c r="B153" s="32" t="str">
        <f t="shared" si="8"/>
        <v>TOTAL</v>
      </c>
      <c r="C153" s="21">
        <f t="shared" ref="C153:F153" si="15">C142/$F142</f>
        <v>0</v>
      </c>
      <c r="D153" s="21">
        <f t="shared" si="15"/>
        <v>0</v>
      </c>
      <c r="E153" s="21">
        <f t="shared" si="15"/>
        <v>0.8</v>
      </c>
      <c r="F153" s="21">
        <f t="shared" si="15"/>
        <v>1</v>
      </c>
      <c r="G153" s="67"/>
    </row>
  </sheetData>
  <sheetProtection formatCells="0" formatColumns="0" formatRows="0" insertColumns="0" insertRows="0" insertHyperlinks="0" deleteColumns="0" deleteRows="0" selectLockedCells="1" sort="0" autoFilter="0" pivotTables="0"/>
  <conditionalFormatting sqref="C5:C13">
    <cfRule type="cellIs" dxfId="92" priority="60" operator="equal">
      <formula>"Level 0 - Does not exist"</formula>
    </cfRule>
    <cfRule type="cellIs" dxfId="91" priority="59" operator="equal">
      <formula>"Level 1 - Initial"</formula>
    </cfRule>
    <cfRule type="cellIs" dxfId="90" priority="58" operator="equal">
      <formula>"Level 2 - Repeatable"</formula>
    </cfRule>
    <cfRule type="cellIs" dxfId="89" priority="57" operator="equal">
      <formula>"Level 3 - Defined"</formula>
    </cfRule>
    <cfRule type="cellIs" dxfId="88" priority="56" operator="equal">
      <formula>"Level 4 - Managed"</formula>
    </cfRule>
    <cfRule type="cellIs" dxfId="87" priority="55" operator="equal">
      <formula>"Level 5 - Optimized"</formula>
    </cfRule>
  </conditionalFormatting>
  <conditionalFormatting sqref="C15:C30">
    <cfRule type="cellIs" dxfId="86" priority="54" operator="equal">
      <formula>"Level 0 - Does not exist"</formula>
    </cfRule>
    <cfRule type="cellIs" dxfId="85" priority="53" operator="equal">
      <formula>"Level 1 - Initial"</formula>
    </cfRule>
    <cfRule type="cellIs" dxfId="84" priority="52" operator="equal">
      <formula>"Level 2 - Repeatable"</formula>
    </cfRule>
    <cfRule type="cellIs" dxfId="83" priority="51" operator="equal">
      <formula>"Level 3 - Defined"</formula>
    </cfRule>
    <cfRule type="cellIs" dxfId="82" priority="50" operator="equal">
      <formula>"Level 4 - Managed"</formula>
    </cfRule>
    <cfRule type="cellIs" dxfId="81" priority="49" operator="equal">
      <formula>"Level 5 - Optimized"</formula>
    </cfRule>
  </conditionalFormatting>
  <conditionalFormatting sqref="C32:C39">
    <cfRule type="cellIs" dxfId="80" priority="43" operator="equal">
      <formula>"Level 5 - Optimized"</formula>
    </cfRule>
    <cfRule type="cellIs" dxfId="79" priority="48" operator="equal">
      <formula>"Level 0 - Does not exist"</formula>
    </cfRule>
    <cfRule type="cellIs" dxfId="78" priority="47" operator="equal">
      <formula>"Level 1 - Initial"</formula>
    </cfRule>
    <cfRule type="cellIs" dxfId="77" priority="46" operator="equal">
      <formula>"Level 2 - Repeatable"</formula>
    </cfRule>
    <cfRule type="cellIs" dxfId="76" priority="45" operator="equal">
      <formula>"Level 3 - Defined"</formula>
    </cfRule>
    <cfRule type="cellIs" dxfId="75" priority="44" operator="equal">
      <formula>"Level 4 - Managed"</formula>
    </cfRule>
  </conditionalFormatting>
  <conditionalFormatting sqref="C41:C53">
    <cfRule type="cellIs" dxfId="74" priority="37" operator="equal">
      <formula>"Level 5 - Optimized"</formula>
    </cfRule>
    <cfRule type="cellIs" dxfId="73" priority="42" operator="equal">
      <formula>"Level 0 - Does not exist"</formula>
    </cfRule>
    <cfRule type="cellIs" dxfId="72" priority="41" operator="equal">
      <formula>"Level 1 - Initial"</formula>
    </cfRule>
    <cfRule type="cellIs" dxfId="71" priority="40" operator="equal">
      <formula>"Level 2 - Repeatable"</formula>
    </cfRule>
    <cfRule type="cellIs" dxfId="70" priority="39" operator="equal">
      <formula>"Level 3 - Defined"</formula>
    </cfRule>
    <cfRule type="cellIs" dxfId="69" priority="38" operator="equal">
      <formula>"Level 4 - Managed"</formula>
    </cfRule>
  </conditionalFormatting>
  <conditionalFormatting sqref="C55:C61">
    <cfRule type="cellIs" dxfId="68" priority="1" operator="equal">
      <formula>"Level 5 - Optimized"</formula>
    </cfRule>
    <cfRule type="cellIs" dxfId="67" priority="3" operator="equal">
      <formula>"Level 3 - Defined"</formula>
    </cfRule>
    <cfRule type="cellIs" dxfId="66" priority="2" operator="equal">
      <formula>"Level 4 - Managed"</formula>
    </cfRule>
    <cfRule type="cellIs" dxfId="65" priority="6" operator="equal">
      <formula>"Level 0 - Does not exist"</formula>
    </cfRule>
    <cfRule type="cellIs" dxfId="64" priority="5" operator="equal">
      <formula>"Level 1 - Initial"</formula>
    </cfRule>
    <cfRule type="cellIs" dxfId="63" priority="4" operator="equal">
      <formula>"Level 2 - Repeatable"</formula>
    </cfRule>
  </conditionalFormatting>
  <conditionalFormatting sqref="C63:C100">
    <cfRule type="cellIs" dxfId="62" priority="29" operator="equal">
      <formula>"Level 1 - Initial"</formula>
    </cfRule>
    <cfRule type="cellIs" dxfId="61" priority="28" operator="equal">
      <formula>"Level 2 - Repeatable"</formula>
    </cfRule>
    <cfRule type="cellIs" dxfId="60" priority="27" operator="equal">
      <formula>"Level 3 - Defined"</formula>
    </cfRule>
    <cfRule type="cellIs" dxfId="59" priority="26" operator="equal">
      <formula>"Level 4 - Managed"</formula>
    </cfRule>
    <cfRule type="cellIs" dxfId="58" priority="25" operator="equal">
      <formula>"Level 5 - Optimized"</formula>
    </cfRule>
    <cfRule type="cellIs" dxfId="57" priority="30" operator="equal">
      <formula>"Level 0 - Does not exist"</formula>
    </cfRule>
  </conditionalFormatting>
  <conditionalFormatting sqref="C102:C131">
    <cfRule type="cellIs" dxfId="56" priority="24" operator="equal">
      <formula>"Level 0 - Does not exist"</formula>
    </cfRule>
    <cfRule type="cellIs" dxfId="55" priority="23" operator="equal">
      <formula>"Level 1 - Initial"</formula>
    </cfRule>
    <cfRule type="cellIs" dxfId="54" priority="22" operator="equal">
      <formula>"Level 2 - Repeatable"</formula>
    </cfRule>
    <cfRule type="cellIs" dxfId="53" priority="21" operator="equal">
      <formula>"Level 3 - Defined"</formula>
    </cfRule>
    <cfRule type="cellIs" dxfId="52" priority="20" operator="equal">
      <formula>"Level 4 - Managed"</formula>
    </cfRule>
    <cfRule type="cellIs" dxfId="51" priority="19" operator="equal">
      <formula>"Level 5 - Optimized"</formula>
    </cfRule>
  </conditionalFormatting>
  <conditionalFormatting sqref="D5:D13">
    <cfRule type="cellIs" dxfId="50" priority="171" operator="equal">
      <formula>3</formula>
    </cfRule>
  </conditionalFormatting>
  <conditionalFormatting sqref="D15:D30">
    <cfRule type="cellIs" dxfId="49" priority="153" operator="equal">
      <formula>3</formula>
    </cfRule>
  </conditionalFormatting>
  <conditionalFormatting sqref="D32:D39">
    <cfRule type="cellIs" dxfId="48" priority="135" operator="equal">
      <formula>3</formula>
    </cfRule>
  </conditionalFormatting>
  <conditionalFormatting sqref="D41:D53">
    <cfRule type="cellIs" dxfId="47" priority="117" operator="equal">
      <formula>3</formula>
    </cfRule>
  </conditionalFormatting>
  <conditionalFormatting sqref="D55:D61">
    <cfRule type="cellIs" dxfId="46" priority="9" operator="equal">
      <formula>3</formula>
    </cfRule>
  </conditionalFormatting>
  <conditionalFormatting sqref="D63:D100">
    <cfRule type="cellIs" dxfId="45" priority="81" operator="equal">
      <formula>3</formula>
    </cfRule>
  </conditionalFormatting>
  <conditionalFormatting sqref="D102:D131">
    <cfRule type="cellIs" dxfId="44" priority="63" operator="equal">
      <formula>3</formula>
    </cfRule>
  </conditionalFormatting>
  <conditionalFormatting sqref="D5:F13">
    <cfRule type="cellIs" dxfId="43" priority="170" operator="equal">
      <formula>4</formula>
    </cfRule>
    <cfRule type="cellIs" dxfId="42" priority="169" operator="equal">
      <formula>5</formula>
    </cfRule>
    <cfRule type="cellIs" dxfId="41" priority="174" operator="equal">
      <formula>0</formula>
    </cfRule>
    <cfRule type="cellIs" dxfId="40" priority="172" operator="equal">
      <formula>2</formula>
    </cfRule>
    <cfRule type="cellIs" dxfId="39" priority="173" operator="equal">
      <formula>1</formula>
    </cfRule>
  </conditionalFormatting>
  <conditionalFormatting sqref="D15:F30">
    <cfRule type="cellIs" dxfId="38" priority="156" operator="equal">
      <formula>0</formula>
    </cfRule>
    <cfRule type="cellIs" dxfId="37" priority="155" operator="equal">
      <formula>1</formula>
    </cfRule>
    <cfRule type="cellIs" dxfId="36" priority="154" operator="equal">
      <formula>2</formula>
    </cfRule>
    <cfRule type="cellIs" dxfId="35" priority="152" operator="equal">
      <formula>4</formula>
    </cfRule>
    <cfRule type="cellIs" dxfId="34" priority="151" operator="equal">
      <formula>5</formula>
    </cfRule>
  </conditionalFormatting>
  <conditionalFormatting sqref="D32:F39">
    <cfRule type="cellIs" dxfId="33" priority="138" operator="equal">
      <formula>0</formula>
    </cfRule>
    <cfRule type="cellIs" dxfId="32" priority="137" operator="equal">
      <formula>1</formula>
    </cfRule>
    <cfRule type="cellIs" dxfId="31" priority="136" operator="equal">
      <formula>2</formula>
    </cfRule>
    <cfRule type="cellIs" dxfId="30" priority="134" operator="equal">
      <formula>4</formula>
    </cfRule>
    <cfRule type="cellIs" dxfId="29" priority="133" operator="equal">
      <formula>5</formula>
    </cfRule>
  </conditionalFormatting>
  <conditionalFormatting sqref="D41:F53">
    <cfRule type="cellIs" dxfId="28" priority="118" operator="equal">
      <formula>2</formula>
    </cfRule>
    <cfRule type="cellIs" dxfId="27" priority="116" operator="equal">
      <formula>4</formula>
    </cfRule>
    <cfRule type="cellIs" dxfId="26" priority="119" operator="equal">
      <formula>1</formula>
    </cfRule>
    <cfRule type="cellIs" dxfId="25" priority="120" operator="equal">
      <formula>0</formula>
    </cfRule>
    <cfRule type="cellIs" dxfId="24" priority="115" operator="equal">
      <formula>5</formula>
    </cfRule>
  </conditionalFormatting>
  <conditionalFormatting sqref="D55:F61">
    <cfRule type="cellIs" dxfId="23" priority="10" operator="equal">
      <formula>2</formula>
    </cfRule>
    <cfRule type="cellIs" dxfId="22" priority="7" operator="equal">
      <formula>5</formula>
    </cfRule>
    <cfRule type="cellIs" dxfId="21" priority="11" operator="equal">
      <formula>1</formula>
    </cfRule>
    <cfRule type="cellIs" dxfId="20" priority="8" operator="equal">
      <formula>4</formula>
    </cfRule>
    <cfRule type="cellIs" dxfId="19" priority="12" operator="equal">
      <formula>0</formula>
    </cfRule>
  </conditionalFormatting>
  <conditionalFormatting sqref="D63:F100">
    <cfRule type="cellIs" dxfId="18" priority="84" operator="equal">
      <formula>0</formula>
    </cfRule>
    <cfRule type="cellIs" dxfId="17" priority="83" operator="equal">
      <formula>1</formula>
    </cfRule>
    <cfRule type="cellIs" dxfId="16" priority="82" operator="equal">
      <formula>2</formula>
    </cfRule>
    <cfRule type="cellIs" dxfId="15" priority="80" operator="equal">
      <formula>4</formula>
    </cfRule>
    <cfRule type="cellIs" dxfId="14" priority="79" operator="equal">
      <formula>5</formula>
    </cfRule>
  </conditionalFormatting>
  <conditionalFormatting sqref="D102:F131">
    <cfRule type="cellIs" dxfId="13" priority="66" operator="equal">
      <formula>0</formula>
    </cfRule>
    <cfRule type="cellIs" dxfId="12" priority="65" operator="equal">
      <formula>1</formula>
    </cfRule>
    <cfRule type="cellIs" dxfId="11" priority="64" operator="equal">
      <formula>2</formula>
    </cfRule>
    <cfRule type="cellIs" dxfId="10" priority="61" operator="equal">
      <formula>5</formula>
    </cfRule>
    <cfRule type="cellIs" dxfId="9" priority="62" operator="equal">
      <formula>4</formula>
    </cfRule>
  </conditionalFormatting>
  <conditionalFormatting sqref="E5:F13">
    <cfRule type="cellIs" dxfId="8" priority="177" operator="equal">
      <formula>3</formula>
    </cfRule>
  </conditionalFormatting>
  <conditionalFormatting sqref="E15:F30">
    <cfRule type="cellIs" dxfId="7" priority="159" operator="equal">
      <formula>3</formula>
    </cfRule>
  </conditionalFormatting>
  <conditionalFormatting sqref="E32:F39">
    <cfRule type="cellIs" dxfId="6" priority="141" operator="equal">
      <formula>3</formula>
    </cfRule>
  </conditionalFormatting>
  <conditionalFormatting sqref="E41:F53">
    <cfRule type="cellIs" dxfId="5" priority="123" operator="equal">
      <formula>3</formula>
    </cfRule>
  </conditionalFormatting>
  <conditionalFormatting sqref="E55:F61">
    <cfRule type="cellIs" dxfId="4" priority="15" operator="equal">
      <formula>3</formula>
    </cfRule>
  </conditionalFormatting>
  <conditionalFormatting sqref="E63:F100">
    <cfRule type="cellIs" dxfId="3" priority="87" operator="equal">
      <formula>3</formula>
    </cfRule>
  </conditionalFormatting>
  <conditionalFormatting sqref="E102:F131">
    <cfRule type="cellIs" dxfId="2" priority="69" operator="equal">
      <formula>3</formula>
    </cfRule>
  </conditionalFormatting>
  <pageMargins left="0.7" right="0.7" top="0.75" bottom="0.75" header="0.3" footer="0.3"/>
  <pageSetup scale="91" fitToHeight="0" orientation="portrait" horizontalDpi="300" verticalDpi="300"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C00-000000000000}">
          <x14:formula1>
            <xm:f>'CoBIT maturity key'!$B$4:$B$9</xm:f>
          </x14:formula1>
          <xm:sqref>C101 C40 C14 C54 D5:E131</xm:sqref>
        </x14:dataValidation>
        <x14:dataValidation type="list" allowBlank="1" showInputMessage="1" showErrorMessage="1" xr:uid="{00000000-0002-0000-0C00-000001000000}">
          <x14:formula1>
            <xm:f>'CoBIT maturity key'!$A$4:$A$9</xm:f>
          </x14:formula1>
          <xm:sqref>C5:C13 C15:C39 C41:C53 C102:C131 C55:C100</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FFFF00"/>
    <pageSetUpPr fitToPage="1"/>
  </sheetPr>
  <dimension ref="A1:I461"/>
  <sheetViews>
    <sheetView zoomScale="115" zoomScaleNormal="115" zoomScalePageLayoutView="125" workbookViewId="0">
      <pane ySplit="4" topLeftCell="A5" activePane="bottomLeft" state="frozen"/>
      <selection pane="bottomLeft" activeCell="A3" sqref="A3:XFD3"/>
    </sheetView>
  </sheetViews>
  <sheetFormatPr baseColWidth="10" defaultColWidth="8.83203125" defaultRowHeight="15" x14ac:dyDescent="0.2"/>
  <cols>
    <col min="1" max="1" width="80.5" style="34" bestFit="1" customWidth="1"/>
    <col min="2" max="2" width="85.5" style="59" bestFit="1" customWidth="1"/>
    <col min="3" max="3" width="34.5" style="59" customWidth="1"/>
    <col min="4" max="4" width="13.5" style="34" customWidth="1"/>
    <col min="5" max="5" width="18.5" style="34" customWidth="1"/>
    <col min="6" max="6" width="21.5" style="34" customWidth="1"/>
    <col min="7" max="7" width="15.5" style="34" hidden="1" customWidth="1"/>
    <col min="8" max="8" width="51.5" style="34" customWidth="1"/>
    <col min="9" max="16384" width="8.83203125" style="34"/>
  </cols>
  <sheetData>
    <row r="1" spans="1:9" s="58" customFormat="1" ht="24.75" customHeight="1" x14ac:dyDescent="0.2">
      <c r="A1" s="56"/>
      <c r="B1" s="57"/>
      <c r="C1" s="57"/>
    </row>
    <row r="2" spans="1:9" s="30" customFormat="1" ht="22.5" customHeight="1" x14ac:dyDescent="0.2">
      <c r="A2" s="30" t="s">
        <v>1052</v>
      </c>
      <c r="H2" s="31"/>
      <c r="I2" s="31"/>
    </row>
    <row r="3" spans="1:9" s="165" customFormat="1" ht="22.5" customHeight="1" x14ac:dyDescent="0.2">
      <c r="A3" s="165" t="s">
        <v>1053</v>
      </c>
    </row>
    <row r="4" spans="1:9" s="26" customFormat="1" ht="21" customHeight="1" x14ac:dyDescent="0.2">
      <c r="A4" s="26" t="s">
        <v>1054</v>
      </c>
      <c r="B4" s="26" t="s">
        <v>1055</v>
      </c>
      <c r="C4" s="26" t="s">
        <v>1056</v>
      </c>
      <c r="D4" s="27" t="s">
        <v>1057</v>
      </c>
      <c r="E4" s="27"/>
      <c r="F4" s="27"/>
      <c r="G4" s="27" t="s">
        <v>74</v>
      </c>
    </row>
    <row r="5" spans="1:9" s="121" customFormat="1" ht="21" customHeight="1" x14ac:dyDescent="0.2">
      <c r="A5" s="121" t="s">
        <v>1058</v>
      </c>
    </row>
    <row r="6" spans="1:9" s="39" customFormat="1" ht="21" customHeight="1" x14ac:dyDescent="0.2">
      <c r="G6" s="39">
        <v>5</v>
      </c>
    </row>
    <row r="7" spans="1:9" s="39" customFormat="1" ht="21" customHeight="1" x14ac:dyDescent="0.2">
      <c r="G7" s="39">
        <v>5</v>
      </c>
    </row>
    <row r="8" spans="1:9" s="39" customFormat="1" ht="21" customHeight="1" x14ac:dyDescent="0.2">
      <c r="G8" s="39">
        <v>5</v>
      </c>
    </row>
    <row r="9" spans="1:9" s="39" customFormat="1" ht="21" customHeight="1" x14ac:dyDescent="0.2">
      <c r="G9" s="39">
        <v>5</v>
      </c>
    </row>
    <row r="10" spans="1:9" s="39" customFormat="1" ht="21" customHeight="1" x14ac:dyDescent="0.2">
      <c r="G10" s="39">
        <v>5</v>
      </c>
    </row>
    <row r="11" spans="1:9" s="39" customFormat="1" ht="21" customHeight="1" x14ac:dyDescent="0.2">
      <c r="G11" s="39">
        <v>5</v>
      </c>
    </row>
    <row r="12" spans="1:9" s="39" customFormat="1" ht="21" customHeight="1" x14ac:dyDescent="0.2">
      <c r="G12" s="39">
        <v>5</v>
      </c>
    </row>
    <row r="13" spans="1:9" s="39" customFormat="1" ht="21" customHeight="1" x14ac:dyDescent="0.2">
      <c r="G13" s="39">
        <v>5</v>
      </c>
    </row>
    <row r="14" spans="1:9" s="39" customFormat="1" ht="21" customHeight="1" x14ac:dyDescent="0.2">
      <c r="G14" s="39">
        <v>5</v>
      </c>
    </row>
    <row r="15" spans="1:9" s="39" customFormat="1" ht="21" customHeight="1" x14ac:dyDescent="0.2"/>
    <row r="16" spans="1:9" s="39" customFormat="1" ht="21" customHeight="1" x14ac:dyDescent="0.2">
      <c r="G16" s="39">
        <v>5</v>
      </c>
    </row>
    <row r="17" spans="1:7" s="39" customFormat="1" ht="21" customHeight="1" x14ac:dyDescent="0.2">
      <c r="G17" s="39">
        <v>5</v>
      </c>
    </row>
    <row r="18" spans="1:7" s="39" customFormat="1" ht="21" customHeight="1" x14ac:dyDescent="0.2">
      <c r="G18" s="39">
        <v>5</v>
      </c>
    </row>
    <row r="19" spans="1:7" s="39" customFormat="1" ht="21" customHeight="1" x14ac:dyDescent="0.2">
      <c r="G19" s="39">
        <v>5</v>
      </c>
    </row>
    <row r="20" spans="1:7" s="39" customFormat="1" ht="21" customHeight="1" x14ac:dyDescent="0.2">
      <c r="G20" s="39">
        <v>5</v>
      </c>
    </row>
    <row r="21" spans="1:7" s="121" customFormat="1" ht="21" customHeight="1" x14ac:dyDescent="0.2">
      <c r="A21" s="121" t="s">
        <v>1059</v>
      </c>
    </row>
    <row r="22" spans="1:7" s="39" customFormat="1" ht="21" customHeight="1" x14ac:dyDescent="0.2">
      <c r="G22" s="39">
        <v>5</v>
      </c>
    </row>
    <row r="23" spans="1:7" s="39" customFormat="1" ht="21" customHeight="1" x14ac:dyDescent="0.2">
      <c r="G23" s="39">
        <v>5</v>
      </c>
    </row>
    <row r="24" spans="1:7" s="39" customFormat="1" ht="21" customHeight="1" x14ac:dyDescent="0.2">
      <c r="G24" s="39">
        <v>5</v>
      </c>
    </row>
    <row r="25" spans="1:7" s="39" customFormat="1" ht="21" customHeight="1" x14ac:dyDescent="0.2">
      <c r="G25" s="39">
        <v>5</v>
      </c>
    </row>
    <row r="26" spans="1:7" s="39" customFormat="1" ht="21" customHeight="1" x14ac:dyDescent="0.2">
      <c r="G26" s="39">
        <v>5</v>
      </c>
    </row>
    <row r="27" spans="1:7" s="39" customFormat="1" ht="21" customHeight="1" x14ac:dyDescent="0.2">
      <c r="G27" s="39">
        <v>5</v>
      </c>
    </row>
    <row r="28" spans="1:7" s="39" customFormat="1" ht="21" customHeight="1" x14ac:dyDescent="0.2">
      <c r="G28" s="39">
        <v>5</v>
      </c>
    </row>
    <row r="29" spans="1:7" s="39" customFormat="1" ht="21" customHeight="1" x14ac:dyDescent="0.2">
      <c r="G29" s="39">
        <v>5</v>
      </c>
    </row>
    <row r="30" spans="1:7" s="39" customFormat="1" ht="21" customHeight="1" x14ac:dyDescent="0.2">
      <c r="G30" s="39">
        <v>5</v>
      </c>
    </row>
    <row r="31" spans="1:7" s="39" customFormat="1" ht="21" customHeight="1" x14ac:dyDescent="0.2">
      <c r="G31" s="39">
        <v>5</v>
      </c>
    </row>
    <row r="32" spans="1:7" s="39" customFormat="1" ht="21" customHeight="1" x14ac:dyDescent="0.2"/>
    <row r="33" spans="7:7" s="39" customFormat="1" ht="21" customHeight="1" x14ac:dyDescent="0.2">
      <c r="G33" s="39">
        <v>5</v>
      </c>
    </row>
    <row r="34" spans="7:7" s="39" customFormat="1" ht="21" customHeight="1" x14ac:dyDescent="0.2">
      <c r="G34" s="39">
        <v>5</v>
      </c>
    </row>
    <row r="35" spans="7:7" s="39" customFormat="1" ht="21" customHeight="1" x14ac:dyDescent="0.2">
      <c r="G35" s="39">
        <v>5</v>
      </c>
    </row>
    <row r="36" spans="7:7" s="39" customFormat="1" ht="21" customHeight="1" x14ac:dyDescent="0.2">
      <c r="G36" s="39">
        <v>5</v>
      </c>
    </row>
    <row r="37" spans="7:7" s="39" customFormat="1" ht="21" customHeight="1" x14ac:dyDescent="0.2">
      <c r="G37" s="39">
        <v>5</v>
      </c>
    </row>
    <row r="38" spans="7:7" s="39" customFormat="1" ht="21" customHeight="1" x14ac:dyDescent="0.2">
      <c r="G38" s="39">
        <v>5</v>
      </c>
    </row>
    <row r="39" spans="7:7" s="39" customFormat="1" ht="21" customHeight="1" x14ac:dyDescent="0.2">
      <c r="G39" s="39">
        <v>5</v>
      </c>
    </row>
    <row r="40" spans="7:7" s="39" customFormat="1" ht="21" customHeight="1" x14ac:dyDescent="0.2">
      <c r="G40" s="39">
        <v>5</v>
      </c>
    </row>
    <row r="41" spans="7:7" s="39" customFormat="1" ht="21" customHeight="1" x14ac:dyDescent="0.2"/>
    <row r="42" spans="7:7" s="39" customFormat="1" ht="21" customHeight="1" x14ac:dyDescent="0.2">
      <c r="G42" s="39">
        <v>5</v>
      </c>
    </row>
    <row r="43" spans="7:7" s="39" customFormat="1" ht="21" customHeight="1" x14ac:dyDescent="0.2">
      <c r="G43" s="39">
        <v>5</v>
      </c>
    </row>
    <row r="44" spans="7:7" s="39" customFormat="1" ht="21" customHeight="1" x14ac:dyDescent="0.2">
      <c r="G44" s="39">
        <v>5</v>
      </c>
    </row>
    <row r="45" spans="7:7" s="39" customFormat="1" ht="21" customHeight="1" x14ac:dyDescent="0.2">
      <c r="G45" s="39">
        <v>5</v>
      </c>
    </row>
    <row r="46" spans="7:7" s="39" customFormat="1" ht="21" customHeight="1" x14ac:dyDescent="0.2">
      <c r="G46" s="39">
        <v>5</v>
      </c>
    </row>
    <row r="47" spans="7:7" s="39" customFormat="1" ht="21" customHeight="1" x14ac:dyDescent="0.2">
      <c r="G47" s="39">
        <v>5</v>
      </c>
    </row>
    <row r="48" spans="7:7" s="39" customFormat="1" ht="21" customHeight="1" x14ac:dyDescent="0.2">
      <c r="G48" s="39">
        <v>5</v>
      </c>
    </row>
    <row r="49" spans="7:7" s="39" customFormat="1" ht="21" customHeight="1" x14ac:dyDescent="0.2">
      <c r="G49" s="39">
        <v>5</v>
      </c>
    </row>
    <row r="50" spans="7:7" s="39" customFormat="1" ht="21" customHeight="1" x14ac:dyDescent="0.2">
      <c r="G50" s="39">
        <v>5</v>
      </c>
    </row>
    <row r="51" spans="7:7" s="39" customFormat="1" ht="21" customHeight="1" x14ac:dyDescent="0.2">
      <c r="G51" s="39">
        <v>5</v>
      </c>
    </row>
    <row r="52" spans="7:7" s="39" customFormat="1" ht="21" customHeight="1" x14ac:dyDescent="0.2">
      <c r="G52" s="39">
        <v>5</v>
      </c>
    </row>
    <row r="53" spans="7:7" s="39" customFormat="1" ht="21" customHeight="1" x14ac:dyDescent="0.2">
      <c r="G53" s="39">
        <v>5</v>
      </c>
    </row>
    <row r="54" spans="7:7" s="39" customFormat="1" ht="21" customHeight="1" x14ac:dyDescent="0.2">
      <c r="G54" s="39">
        <v>5</v>
      </c>
    </row>
    <row r="55" spans="7:7" s="39" customFormat="1" ht="21" customHeight="1" x14ac:dyDescent="0.2"/>
    <row r="56" spans="7:7" s="39" customFormat="1" ht="21" customHeight="1" x14ac:dyDescent="0.2">
      <c r="G56" s="39">
        <v>5</v>
      </c>
    </row>
    <row r="57" spans="7:7" s="39" customFormat="1" ht="21" customHeight="1" x14ac:dyDescent="0.2">
      <c r="G57" s="39">
        <v>5</v>
      </c>
    </row>
    <row r="58" spans="7:7" s="39" customFormat="1" ht="21" customHeight="1" x14ac:dyDescent="0.2">
      <c r="G58" s="39">
        <v>5</v>
      </c>
    </row>
    <row r="59" spans="7:7" s="39" customFormat="1" ht="21" customHeight="1" x14ac:dyDescent="0.2">
      <c r="G59" s="39">
        <v>5</v>
      </c>
    </row>
    <row r="60" spans="7:7" s="39" customFormat="1" ht="21" customHeight="1" x14ac:dyDescent="0.2"/>
    <row r="61" spans="7:7" s="39" customFormat="1" ht="21" customHeight="1" x14ac:dyDescent="0.2">
      <c r="G61" s="39">
        <v>5</v>
      </c>
    </row>
    <row r="62" spans="7:7" s="39" customFormat="1" ht="21" customHeight="1" x14ac:dyDescent="0.2">
      <c r="G62" s="39">
        <v>5</v>
      </c>
    </row>
    <row r="63" spans="7:7" s="39" customFormat="1" ht="21" customHeight="1" x14ac:dyDescent="0.2">
      <c r="G63" s="39">
        <v>5</v>
      </c>
    </row>
    <row r="64" spans="7:7" s="39" customFormat="1" ht="21" customHeight="1" x14ac:dyDescent="0.2">
      <c r="G64" s="39">
        <v>5</v>
      </c>
    </row>
    <row r="65" spans="7:7" s="39" customFormat="1" ht="21" customHeight="1" x14ac:dyDescent="0.2">
      <c r="G65" s="39">
        <v>5</v>
      </c>
    </row>
    <row r="66" spans="7:7" s="39" customFormat="1" ht="21" customHeight="1" x14ac:dyDescent="0.2">
      <c r="G66" s="39">
        <v>5</v>
      </c>
    </row>
    <row r="67" spans="7:7" s="39" customFormat="1" ht="21" customHeight="1" x14ac:dyDescent="0.2">
      <c r="G67" s="39">
        <v>5</v>
      </c>
    </row>
    <row r="68" spans="7:7" s="39" customFormat="1" ht="21" customHeight="1" x14ac:dyDescent="0.2">
      <c r="G68" s="39">
        <v>5</v>
      </c>
    </row>
    <row r="69" spans="7:7" s="39" customFormat="1" ht="21" customHeight="1" x14ac:dyDescent="0.2">
      <c r="G69" s="39">
        <v>5</v>
      </c>
    </row>
    <row r="70" spans="7:7" s="39" customFormat="1" ht="21" customHeight="1" x14ac:dyDescent="0.2">
      <c r="G70" s="39">
        <v>5</v>
      </c>
    </row>
    <row r="71" spans="7:7" s="39" customFormat="1" ht="21" customHeight="1" x14ac:dyDescent="0.2">
      <c r="G71" s="39">
        <v>5</v>
      </c>
    </row>
    <row r="72" spans="7:7" s="39" customFormat="1" ht="21" customHeight="1" x14ac:dyDescent="0.2">
      <c r="G72" s="39">
        <v>5</v>
      </c>
    </row>
    <row r="73" spans="7:7" s="39" customFormat="1" ht="21" customHeight="1" x14ac:dyDescent="0.2">
      <c r="G73" s="39">
        <v>5</v>
      </c>
    </row>
    <row r="74" spans="7:7" s="39" customFormat="1" ht="21" customHeight="1" x14ac:dyDescent="0.2">
      <c r="G74" s="39">
        <v>5</v>
      </c>
    </row>
    <row r="75" spans="7:7" s="39" customFormat="1" ht="21" customHeight="1" x14ac:dyDescent="0.2">
      <c r="G75" s="39">
        <v>5</v>
      </c>
    </row>
    <row r="76" spans="7:7" s="39" customFormat="1" ht="21" customHeight="1" x14ac:dyDescent="0.2">
      <c r="G76" s="39">
        <v>5</v>
      </c>
    </row>
    <row r="77" spans="7:7" s="39" customFormat="1" ht="21" customHeight="1" x14ac:dyDescent="0.2">
      <c r="G77" s="39">
        <v>5</v>
      </c>
    </row>
    <row r="78" spans="7:7" s="39" customFormat="1" ht="21" customHeight="1" x14ac:dyDescent="0.2">
      <c r="G78" s="39">
        <v>5</v>
      </c>
    </row>
    <row r="79" spans="7:7" s="39" customFormat="1" ht="21" customHeight="1" x14ac:dyDescent="0.2">
      <c r="G79" s="39">
        <v>5</v>
      </c>
    </row>
    <row r="80" spans="7:7" s="39" customFormat="1" ht="21" customHeight="1" x14ac:dyDescent="0.2">
      <c r="G80" s="39">
        <v>5</v>
      </c>
    </row>
    <row r="81" spans="7:7" s="39" customFormat="1" ht="21" customHeight="1" x14ac:dyDescent="0.2">
      <c r="G81" s="39">
        <v>5</v>
      </c>
    </row>
    <row r="82" spans="7:7" s="39" customFormat="1" ht="21" customHeight="1" x14ac:dyDescent="0.2">
      <c r="G82" s="39">
        <v>5</v>
      </c>
    </row>
    <row r="83" spans="7:7" s="39" customFormat="1" ht="21" customHeight="1" x14ac:dyDescent="0.2">
      <c r="G83" s="39">
        <v>5</v>
      </c>
    </row>
    <row r="84" spans="7:7" s="39" customFormat="1" ht="21" customHeight="1" x14ac:dyDescent="0.2">
      <c r="G84" s="39">
        <v>5</v>
      </c>
    </row>
    <row r="85" spans="7:7" s="39" customFormat="1" ht="21" customHeight="1" x14ac:dyDescent="0.2">
      <c r="G85" s="39">
        <v>5</v>
      </c>
    </row>
    <row r="86" spans="7:7" s="39" customFormat="1" ht="21" customHeight="1" x14ac:dyDescent="0.2">
      <c r="G86" s="39">
        <v>5</v>
      </c>
    </row>
    <row r="87" spans="7:7" s="39" customFormat="1" ht="21" customHeight="1" x14ac:dyDescent="0.2">
      <c r="G87" s="39">
        <v>5</v>
      </c>
    </row>
    <row r="88" spans="7:7" s="39" customFormat="1" ht="21" customHeight="1" x14ac:dyDescent="0.2">
      <c r="G88" s="39">
        <v>5</v>
      </c>
    </row>
    <row r="89" spans="7:7" s="39" customFormat="1" ht="21" customHeight="1" x14ac:dyDescent="0.2">
      <c r="G89" s="39">
        <v>5</v>
      </c>
    </row>
    <row r="90" spans="7:7" s="39" customFormat="1" ht="21" customHeight="1" x14ac:dyDescent="0.2">
      <c r="G90" s="39">
        <v>5</v>
      </c>
    </row>
    <row r="91" spans="7:7" s="39" customFormat="1" ht="21" customHeight="1" x14ac:dyDescent="0.2">
      <c r="G91" s="39">
        <v>5</v>
      </c>
    </row>
    <row r="92" spans="7:7" s="39" customFormat="1" ht="21" customHeight="1" x14ac:dyDescent="0.2">
      <c r="G92" s="39">
        <v>5</v>
      </c>
    </row>
    <row r="93" spans="7:7" s="39" customFormat="1" ht="21" customHeight="1" x14ac:dyDescent="0.2">
      <c r="G93" s="39">
        <v>5</v>
      </c>
    </row>
    <row r="94" spans="7:7" s="39" customFormat="1" ht="21" customHeight="1" x14ac:dyDescent="0.2">
      <c r="G94" s="39">
        <v>5</v>
      </c>
    </row>
    <row r="95" spans="7:7" s="39" customFormat="1" ht="21" customHeight="1" x14ac:dyDescent="0.2">
      <c r="G95" s="39">
        <v>5</v>
      </c>
    </row>
    <row r="96" spans="7:7" s="39" customFormat="1" ht="21" customHeight="1" x14ac:dyDescent="0.2">
      <c r="G96" s="39">
        <v>5</v>
      </c>
    </row>
    <row r="97" spans="7:7" s="39" customFormat="1" ht="21" customHeight="1" x14ac:dyDescent="0.2">
      <c r="G97" s="39">
        <v>5</v>
      </c>
    </row>
    <row r="98" spans="7:7" s="39" customFormat="1" ht="21" customHeight="1" x14ac:dyDescent="0.2">
      <c r="G98" s="39">
        <v>5</v>
      </c>
    </row>
    <row r="99" spans="7:7" s="39" customFormat="1" ht="21" customHeight="1" x14ac:dyDescent="0.2"/>
    <row r="100" spans="7:7" s="39" customFormat="1" ht="21" customHeight="1" x14ac:dyDescent="0.2">
      <c r="G100" s="39">
        <v>5</v>
      </c>
    </row>
    <row r="101" spans="7:7" s="39" customFormat="1" ht="21" customHeight="1" x14ac:dyDescent="0.2">
      <c r="G101" s="39">
        <v>5</v>
      </c>
    </row>
    <row r="102" spans="7:7" s="39" customFormat="1" ht="21" customHeight="1" x14ac:dyDescent="0.2">
      <c r="G102" s="39">
        <v>5</v>
      </c>
    </row>
    <row r="103" spans="7:7" s="39" customFormat="1" ht="21" customHeight="1" x14ac:dyDescent="0.2">
      <c r="G103" s="39">
        <v>5</v>
      </c>
    </row>
    <row r="104" spans="7:7" s="39" customFormat="1" ht="21" customHeight="1" x14ac:dyDescent="0.2">
      <c r="G104" s="39">
        <v>5</v>
      </c>
    </row>
    <row r="105" spans="7:7" s="39" customFormat="1" ht="21" customHeight="1" x14ac:dyDescent="0.2">
      <c r="G105" s="39">
        <v>5</v>
      </c>
    </row>
    <row r="106" spans="7:7" s="39" customFormat="1" ht="21" customHeight="1" x14ac:dyDescent="0.2">
      <c r="G106" s="39">
        <v>5</v>
      </c>
    </row>
    <row r="107" spans="7:7" s="39" customFormat="1" ht="21" customHeight="1" x14ac:dyDescent="0.2">
      <c r="G107" s="39">
        <v>5</v>
      </c>
    </row>
    <row r="108" spans="7:7" s="39" customFormat="1" ht="21" customHeight="1" x14ac:dyDescent="0.2">
      <c r="G108" s="39">
        <v>5</v>
      </c>
    </row>
    <row r="109" spans="7:7" s="39" customFormat="1" ht="21" customHeight="1" x14ac:dyDescent="0.2">
      <c r="G109" s="39">
        <v>5</v>
      </c>
    </row>
    <row r="110" spans="7:7" s="39" customFormat="1" ht="21" customHeight="1" x14ac:dyDescent="0.2">
      <c r="G110" s="39">
        <v>5</v>
      </c>
    </row>
    <row r="111" spans="7:7" s="39" customFormat="1" ht="21" customHeight="1" x14ac:dyDescent="0.2">
      <c r="G111" s="39">
        <v>5</v>
      </c>
    </row>
    <row r="112" spans="7:7" s="39" customFormat="1" ht="21" customHeight="1" x14ac:dyDescent="0.2">
      <c r="G112" s="39">
        <v>5</v>
      </c>
    </row>
    <row r="113" spans="7:7" s="39" customFormat="1" ht="21" customHeight="1" x14ac:dyDescent="0.2">
      <c r="G113" s="39">
        <v>5</v>
      </c>
    </row>
    <row r="114" spans="7:7" s="39" customFormat="1" ht="21" customHeight="1" x14ac:dyDescent="0.2">
      <c r="G114" s="39">
        <v>5</v>
      </c>
    </row>
    <row r="115" spans="7:7" s="39" customFormat="1" ht="21" customHeight="1" x14ac:dyDescent="0.2">
      <c r="G115" s="39">
        <v>5</v>
      </c>
    </row>
    <row r="116" spans="7:7" s="39" customFormat="1" ht="21" customHeight="1" x14ac:dyDescent="0.2">
      <c r="G116" s="39">
        <v>5</v>
      </c>
    </row>
    <row r="117" spans="7:7" s="39" customFormat="1" ht="21" customHeight="1" x14ac:dyDescent="0.2">
      <c r="G117" s="39">
        <v>5</v>
      </c>
    </row>
    <row r="118" spans="7:7" s="39" customFormat="1" ht="21" customHeight="1" x14ac:dyDescent="0.2">
      <c r="G118" s="39">
        <v>5</v>
      </c>
    </row>
    <row r="119" spans="7:7" s="39" customFormat="1" ht="21" customHeight="1" x14ac:dyDescent="0.2">
      <c r="G119" s="39">
        <v>5</v>
      </c>
    </row>
    <row r="120" spans="7:7" s="39" customFormat="1" ht="21" customHeight="1" x14ac:dyDescent="0.2">
      <c r="G120" s="39">
        <v>5</v>
      </c>
    </row>
    <row r="121" spans="7:7" s="39" customFormat="1" ht="21" customHeight="1" x14ac:dyDescent="0.2">
      <c r="G121" s="39">
        <v>5</v>
      </c>
    </row>
    <row r="122" spans="7:7" s="39" customFormat="1" ht="21" customHeight="1" x14ac:dyDescent="0.2">
      <c r="G122" s="39">
        <v>5</v>
      </c>
    </row>
    <row r="123" spans="7:7" s="39" customFormat="1" ht="21" customHeight="1" x14ac:dyDescent="0.2">
      <c r="G123" s="39">
        <v>5</v>
      </c>
    </row>
    <row r="124" spans="7:7" s="39" customFormat="1" ht="21" customHeight="1" x14ac:dyDescent="0.2">
      <c r="G124" s="39">
        <v>5</v>
      </c>
    </row>
    <row r="125" spans="7:7" s="39" customFormat="1" ht="21" customHeight="1" x14ac:dyDescent="0.2">
      <c r="G125" s="39">
        <v>5</v>
      </c>
    </row>
    <row r="126" spans="7:7" s="39" customFormat="1" ht="21" customHeight="1" x14ac:dyDescent="0.2">
      <c r="G126" s="39">
        <v>5</v>
      </c>
    </row>
    <row r="127" spans="7:7" s="39" customFormat="1" ht="21" customHeight="1" x14ac:dyDescent="0.2">
      <c r="G127" s="39">
        <v>5</v>
      </c>
    </row>
    <row r="128" spans="7:7" s="39" customFormat="1" ht="21" customHeight="1" x14ac:dyDescent="0.2">
      <c r="G128" s="39">
        <v>5</v>
      </c>
    </row>
    <row r="129" spans="2:7" s="39" customFormat="1" ht="21" customHeight="1" x14ac:dyDescent="0.2">
      <c r="G129" s="39">
        <v>5</v>
      </c>
    </row>
    <row r="130" spans="2:7" s="39" customFormat="1" ht="11" hidden="1" x14ac:dyDescent="0.2"/>
    <row r="131" spans="2:7" s="39" customFormat="1" ht="11" hidden="1" x14ac:dyDescent="0.2"/>
    <row r="132" spans="2:7" s="39" customFormat="1" ht="12" hidden="1" x14ac:dyDescent="0.2">
      <c r="B132" s="39" t="s">
        <v>165</v>
      </c>
      <c r="D132" s="39" t="e">
        <f>#REF!</f>
        <v>#REF!</v>
      </c>
      <c r="E132" s="39" t="e">
        <f t="shared" ref="E132:G132" si="0">#REF!</f>
        <v>#REF!</v>
      </c>
      <c r="F132" s="39" t="e">
        <f t="shared" si="0"/>
        <v>#REF!</v>
      </c>
      <c r="G132" s="39" t="e">
        <f t="shared" si="0"/>
        <v>#REF!</v>
      </c>
    </row>
    <row r="133" spans="2:7" s="39" customFormat="1" ht="12" hidden="1" x14ac:dyDescent="0.2">
      <c r="B133" s="39" t="str">
        <f>A5</f>
        <v>Business Critical Assets (Assests should be identified in the Asset Model within SIEM)</v>
      </c>
      <c r="D133" s="39">
        <f>SUM(D6:D14)</f>
        <v>0</v>
      </c>
      <c r="E133" s="39">
        <f t="shared" ref="E133:G133" si="1">SUM(E6:E14)</f>
        <v>0</v>
      </c>
      <c r="F133" s="39">
        <f t="shared" si="1"/>
        <v>0</v>
      </c>
      <c r="G133" s="39">
        <f t="shared" si="1"/>
        <v>45</v>
      </c>
    </row>
    <row r="134" spans="2:7" s="39" customFormat="1" ht="11" hidden="1" x14ac:dyDescent="0.2">
      <c r="B134" s="39">
        <f>A15</f>
        <v>0</v>
      </c>
      <c r="D134" s="39">
        <f>SUM(D16:D31)</f>
        <v>0</v>
      </c>
      <c r="E134" s="39">
        <f t="shared" ref="E134:G134" si="2">SUM(E16:E31)</f>
        <v>0</v>
      </c>
      <c r="F134" s="39">
        <f t="shared" si="2"/>
        <v>0</v>
      </c>
      <c r="G134" s="39">
        <f t="shared" si="2"/>
        <v>75</v>
      </c>
    </row>
    <row r="135" spans="2:7" s="39" customFormat="1" ht="11" hidden="1" x14ac:dyDescent="0.2">
      <c r="B135" s="39">
        <f>A32</f>
        <v>0</v>
      </c>
      <c r="D135" s="39">
        <f>SUM(D33:D40)</f>
        <v>0</v>
      </c>
      <c r="E135" s="39">
        <f t="shared" ref="E135:G135" si="3">SUM(E33:E40)</f>
        <v>0</v>
      </c>
      <c r="F135" s="39">
        <f>SUM(F33:F40)</f>
        <v>0</v>
      </c>
      <c r="G135" s="39">
        <f t="shared" si="3"/>
        <v>40</v>
      </c>
    </row>
    <row r="136" spans="2:7" s="39" customFormat="1" ht="11" hidden="1" x14ac:dyDescent="0.2">
      <c r="B136" s="39">
        <f>A41</f>
        <v>0</v>
      </c>
      <c r="D136" s="39">
        <f>SUM(D42:D54)</f>
        <v>0</v>
      </c>
      <c r="E136" s="39">
        <f t="shared" ref="E136:G136" si="4">SUM(E42:E54)</f>
        <v>0</v>
      </c>
      <c r="F136" s="39">
        <f t="shared" si="4"/>
        <v>0</v>
      </c>
      <c r="G136" s="39">
        <f t="shared" si="4"/>
        <v>65</v>
      </c>
    </row>
    <row r="137" spans="2:7" s="39" customFormat="1" ht="11" hidden="1" x14ac:dyDescent="0.2">
      <c r="B137" s="39">
        <f>A55</f>
        <v>0</v>
      </c>
      <c r="D137" s="39">
        <f>SUM(D56:D59)</f>
        <v>0</v>
      </c>
      <c r="E137" s="39">
        <f t="shared" ref="E137:G137" si="5">SUM(E56:E59)</f>
        <v>0</v>
      </c>
      <c r="F137" s="39">
        <f t="shared" si="5"/>
        <v>0</v>
      </c>
      <c r="G137" s="39">
        <f t="shared" si="5"/>
        <v>20</v>
      </c>
    </row>
    <row r="138" spans="2:7" s="39" customFormat="1" ht="11" hidden="1" x14ac:dyDescent="0.2">
      <c r="B138" s="39">
        <f>A60</f>
        <v>0</v>
      </c>
      <c r="D138" s="39">
        <f>SUM(D61:D98)</f>
        <v>0</v>
      </c>
      <c r="E138" s="39">
        <f t="shared" ref="E138:G138" si="6">SUM(E61:E98)</f>
        <v>0</v>
      </c>
      <c r="F138" s="39">
        <f t="shared" si="6"/>
        <v>0</v>
      </c>
      <c r="G138" s="39">
        <f t="shared" si="6"/>
        <v>190</v>
      </c>
    </row>
    <row r="139" spans="2:7" s="39" customFormat="1" ht="11" hidden="1" x14ac:dyDescent="0.2">
      <c r="B139" s="39">
        <f>A99</f>
        <v>0</v>
      </c>
      <c r="D139" s="39">
        <f>SUM(D100:D129)</f>
        <v>0</v>
      </c>
      <c r="E139" s="39">
        <f t="shared" ref="E139:G139" si="7">SUM(E100:E129)</f>
        <v>0</v>
      </c>
      <c r="F139" s="39">
        <f t="shared" si="7"/>
        <v>0</v>
      </c>
      <c r="G139" s="39">
        <f t="shared" si="7"/>
        <v>150</v>
      </c>
    </row>
    <row r="140" spans="2:7" s="39" customFormat="1" ht="12" hidden="1" x14ac:dyDescent="0.2">
      <c r="B140" s="39" t="s">
        <v>166</v>
      </c>
      <c r="D140" s="39">
        <f>SUM(D133:D139)</f>
        <v>0</v>
      </c>
      <c r="E140" s="39">
        <f>SUM(E133:E139)</f>
        <v>0</v>
      </c>
      <c r="F140" s="39">
        <f>SUM(F133:F139)</f>
        <v>0</v>
      </c>
      <c r="G140" s="39">
        <f>SUM(G133:G139)</f>
        <v>585</v>
      </c>
    </row>
    <row r="141" spans="2:7" s="39" customFormat="1" ht="11" hidden="1" x14ac:dyDescent="0.2"/>
    <row r="142" spans="2:7" s="39" customFormat="1" ht="11" hidden="1" x14ac:dyDescent="0.2"/>
    <row r="143" spans="2:7" s="39" customFormat="1" ht="12" hidden="1" x14ac:dyDescent="0.2">
      <c r="B143" s="39" t="s">
        <v>167</v>
      </c>
      <c r="D143" s="39" t="e">
        <f>D132</f>
        <v>#REF!</v>
      </c>
      <c r="E143" s="39" t="e">
        <f t="shared" ref="E143:G143" si="8">E132</f>
        <v>#REF!</v>
      </c>
      <c r="F143" s="39" t="e">
        <f t="shared" si="8"/>
        <v>#REF!</v>
      </c>
      <c r="G143" s="39" t="e">
        <f t="shared" si="8"/>
        <v>#REF!</v>
      </c>
    </row>
    <row r="144" spans="2:7" s="39" customFormat="1" ht="12" hidden="1" x14ac:dyDescent="0.2">
      <c r="B144" s="39" t="str">
        <f>B133</f>
        <v>Business Critical Assets (Assests should be identified in the Asset Model within SIEM)</v>
      </c>
      <c r="D144" s="39">
        <f>D133/$G133</f>
        <v>0</v>
      </c>
      <c r="E144" s="39">
        <f t="shared" ref="E144:G144" si="9">E133/$G133</f>
        <v>0</v>
      </c>
      <c r="F144" s="39">
        <f t="shared" si="9"/>
        <v>0</v>
      </c>
      <c r="G144" s="39">
        <f t="shared" si="9"/>
        <v>1</v>
      </c>
    </row>
    <row r="145" spans="2:7" s="39" customFormat="1" ht="11" hidden="1" x14ac:dyDescent="0.2">
      <c r="B145" s="39">
        <f t="shared" ref="B145:B151" si="10">B134</f>
        <v>0</v>
      </c>
      <c r="D145" s="39">
        <f t="shared" ref="D145:G151" si="11">D134/$G134</f>
        <v>0</v>
      </c>
      <c r="E145" s="39">
        <f t="shared" si="11"/>
        <v>0</v>
      </c>
      <c r="F145" s="39">
        <f t="shared" si="11"/>
        <v>0</v>
      </c>
      <c r="G145" s="39">
        <f t="shared" si="11"/>
        <v>1</v>
      </c>
    </row>
    <row r="146" spans="2:7" s="39" customFormat="1" ht="11" hidden="1" x14ac:dyDescent="0.2">
      <c r="B146" s="39">
        <f t="shared" si="10"/>
        <v>0</v>
      </c>
      <c r="D146" s="39">
        <f t="shared" si="11"/>
        <v>0</v>
      </c>
      <c r="E146" s="39">
        <f t="shared" si="11"/>
        <v>0</v>
      </c>
      <c r="F146" s="39">
        <f t="shared" si="11"/>
        <v>0</v>
      </c>
      <c r="G146" s="39">
        <f t="shared" si="11"/>
        <v>1</v>
      </c>
    </row>
    <row r="147" spans="2:7" s="39" customFormat="1" ht="11" hidden="1" x14ac:dyDescent="0.2">
      <c r="B147" s="39">
        <f t="shared" si="10"/>
        <v>0</v>
      </c>
      <c r="D147" s="39">
        <f t="shared" si="11"/>
        <v>0</v>
      </c>
      <c r="E147" s="39">
        <f t="shared" si="11"/>
        <v>0</v>
      </c>
      <c r="F147" s="39">
        <f t="shared" si="11"/>
        <v>0</v>
      </c>
      <c r="G147" s="39">
        <f t="shared" si="11"/>
        <v>1</v>
      </c>
    </row>
    <row r="148" spans="2:7" s="39" customFormat="1" ht="11" hidden="1" x14ac:dyDescent="0.2">
      <c r="B148" s="39">
        <f t="shared" si="10"/>
        <v>0</v>
      </c>
      <c r="D148" s="39">
        <f t="shared" si="11"/>
        <v>0</v>
      </c>
      <c r="E148" s="39">
        <f t="shared" si="11"/>
        <v>0</v>
      </c>
      <c r="F148" s="39">
        <f t="shared" si="11"/>
        <v>0</v>
      </c>
      <c r="G148" s="39">
        <f t="shared" si="11"/>
        <v>1</v>
      </c>
    </row>
    <row r="149" spans="2:7" s="39" customFormat="1" ht="11" hidden="1" x14ac:dyDescent="0.2">
      <c r="B149" s="39">
        <f t="shared" si="10"/>
        <v>0</v>
      </c>
      <c r="D149" s="39">
        <f t="shared" si="11"/>
        <v>0</v>
      </c>
      <c r="E149" s="39">
        <f t="shared" si="11"/>
        <v>0</v>
      </c>
      <c r="F149" s="39">
        <f t="shared" si="11"/>
        <v>0</v>
      </c>
      <c r="G149" s="39">
        <f t="shared" si="11"/>
        <v>1</v>
      </c>
    </row>
    <row r="150" spans="2:7" s="39" customFormat="1" ht="11" hidden="1" x14ac:dyDescent="0.2">
      <c r="B150" s="39">
        <f t="shared" si="10"/>
        <v>0</v>
      </c>
      <c r="D150" s="39">
        <f t="shared" si="11"/>
        <v>0</v>
      </c>
      <c r="E150" s="39">
        <f t="shared" si="11"/>
        <v>0</v>
      </c>
      <c r="F150" s="39">
        <f t="shared" si="11"/>
        <v>0</v>
      </c>
      <c r="G150" s="39">
        <f t="shared" si="11"/>
        <v>1</v>
      </c>
    </row>
    <row r="151" spans="2:7" s="39" customFormat="1" ht="12" hidden="1" x14ac:dyDescent="0.2">
      <c r="B151" s="39" t="str">
        <f t="shared" si="10"/>
        <v>TOTAL</v>
      </c>
      <c r="D151" s="39">
        <f t="shared" si="11"/>
        <v>0</v>
      </c>
      <c r="E151" s="39">
        <f t="shared" si="11"/>
        <v>0</v>
      </c>
      <c r="F151" s="39">
        <f t="shared" si="11"/>
        <v>0</v>
      </c>
      <c r="G151" s="39">
        <f t="shared" si="11"/>
        <v>1</v>
      </c>
    </row>
    <row r="152" spans="2:7" s="39" customFormat="1" ht="11" hidden="1" x14ac:dyDescent="0.2"/>
    <row r="153" spans="2:7" s="39" customFormat="1" ht="11" x14ac:dyDescent="0.2"/>
    <row r="154" spans="2:7" s="39" customFormat="1" ht="11" x14ac:dyDescent="0.2"/>
    <row r="155" spans="2:7" s="39" customFormat="1" ht="11" x14ac:dyDescent="0.2"/>
    <row r="156" spans="2:7" s="39" customFormat="1" ht="11" x14ac:dyDescent="0.2"/>
    <row r="157" spans="2:7" s="39" customFormat="1" ht="11" x14ac:dyDescent="0.2"/>
    <row r="158" spans="2:7" s="39" customFormat="1" ht="11" x14ac:dyDescent="0.2"/>
    <row r="159" spans="2:7" s="39" customFormat="1" ht="11" x14ac:dyDescent="0.2"/>
    <row r="160" spans="2:7" s="39" customFormat="1" ht="11" x14ac:dyDescent="0.2"/>
    <row r="161" s="39" customFormat="1" ht="11" x14ac:dyDescent="0.2"/>
    <row r="162" s="39" customFormat="1" ht="11" x14ac:dyDescent="0.2"/>
    <row r="163" s="39" customFormat="1" ht="11" x14ac:dyDescent="0.2"/>
    <row r="164" s="39" customFormat="1" ht="11" x14ac:dyDescent="0.2"/>
    <row r="165" s="39" customFormat="1" ht="11" x14ac:dyDescent="0.2"/>
    <row r="166" s="39" customFormat="1" ht="11" x14ac:dyDescent="0.2"/>
    <row r="167" s="39" customFormat="1" ht="11" x14ac:dyDescent="0.2"/>
    <row r="168" s="39" customFormat="1" ht="11" x14ac:dyDescent="0.2"/>
    <row r="169" s="39" customFormat="1" ht="11" x14ac:dyDescent="0.2"/>
    <row r="170" s="39" customFormat="1" ht="11" x14ac:dyDescent="0.2"/>
    <row r="171" s="39" customFormat="1" ht="11" x14ac:dyDescent="0.2"/>
    <row r="172" s="39" customFormat="1" ht="11" x14ac:dyDescent="0.2"/>
    <row r="173" s="39" customFormat="1" ht="11" x14ac:dyDescent="0.2"/>
    <row r="174" s="39" customFormat="1" ht="11" x14ac:dyDescent="0.2"/>
    <row r="175" s="39" customFormat="1" ht="11" x14ac:dyDescent="0.2"/>
    <row r="176" s="39" customFormat="1" ht="11" x14ac:dyDescent="0.2"/>
    <row r="177" s="39" customFormat="1" ht="11" x14ac:dyDescent="0.2"/>
    <row r="178" s="39" customFormat="1" ht="11" x14ac:dyDescent="0.2"/>
    <row r="179" s="39" customFormat="1" ht="11" x14ac:dyDescent="0.2"/>
    <row r="180" s="39" customFormat="1" ht="11" x14ac:dyDescent="0.2"/>
    <row r="181" s="39" customFormat="1" ht="11" x14ac:dyDescent="0.2"/>
    <row r="182" s="39" customFormat="1" ht="11" x14ac:dyDescent="0.2"/>
    <row r="183" s="39" customFormat="1" ht="11" x14ac:dyDescent="0.2"/>
    <row r="184" s="39" customFormat="1" ht="11" x14ac:dyDescent="0.2"/>
    <row r="185" s="39" customFormat="1" ht="11" x14ac:dyDescent="0.2"/>
    <row r="186" s="39" customFormat="1" ht="11" x14ac:dyDescent="0.2"/>
    <row r="187" s="39" customFormat="1" ht="11" x14ac:dyDescent="0.2"/>
    <row r="188" s="39" customFormat="1" ht="11" x14ac:dyDescent="0.2"/>
    <row r="189" s="39" customFormat="1" ht="11" x14ac:dyDescent="0.2"/>
    <row r="190" s="39" customFormat="1" ht="11" x14ac:dyDescent="0.2"/>
    <row r="191" s="39" customFormat="1" ht="11" x14ac:dyDescent="0.2"/>
    <row r="192" s="39" customFormat="1" ht="11" x14ac:dyDescent="0.2"/>
    <row r="193" s="39" customFormat="1" ht="11" x14ac:dyDescent="0.2"/>
    <row r="194" s="39" customFormat="1" ht="11" x14ac:dyDescent="0.2"/>
    <row r="195" s="39" customFormat="1" ht="11" x14ac:dyDescent="0.2"/>
    <row r="196" s="39" customFormat="1" ht="11" x14ac:dyDescent="0.2"/>
    <row r="197" s="39" customFormat="1" ht="11" x14ac:dyDescent="0.2"/>
    <row r="198" s="39" customFormat="1" ht="11" x14ac:dyDescent="0.2"/>
    <row r="199" s="39" customFormat="1" ht="11" x14ac:dyDescent="0.2"/>
    <row r="200" s="39" customFormat="1" ht="11" x14ac:dyDescent="0.2"/>
    <row r="201" s="39" customFormat="1" ht="11" x14ac:dyDescent="0.2"/>
    <row r="202" s="39" customFormat="1" ht="11" x14ac:dyDescent="0.2"/>
    <row r="203" s="39" customFormat="1" ht="11" x14ac:dyDescent="0.2"/>
    <row r="204" s="39" customFormat="1" ht="11" x14ac:dyDescent="0.2"/>
    <row r="205" s="39" customFormat="1" ht="11" x14ac:dyDescent="0.2"/>
    <row r="206" s="39" customFormat="1" ht="11" x14ac:dyDescent="0.2"/>
    <row r="207" s="39" customFormat="1" ht="11" x14ac:dyDescent="0.2"/>
    <row r="208" s="39" customFormat="1" ht="11" x14ac:dyDescent="0.2"/>
    <row r="209" s="39" customFormat="1" ht="11" x14ac:dyDescent="0.2"/>
    <row r="210" s="39" customFormat="1" ht="11" x14ac:dyDescent="0.2"/>
    <row r="211" s="39" customFormat="1" ht="11" x14ac:dyDescent="0.2"/>
    <row r="212" s="39" customFormat="1" ht="11" x14ac:dyDescent="0.2"/>
    <row r="213" s="39" customFormat="1" ht="11" x14ac:dyDescent="0.2"/>
    <row r="214" s="39" customFormat="1" ht="11" x14ac:dyDescent="0.2"/>
    <row r="215" s="39" customFormat="1" ht="11" x14ac:dyDescent="0.2"/>
    <row r="216" s="39" customFormat="1" ht="11" x14ac:dyDescent="0.2"/>
    <row r="217" s="39" customFormat="1" ht="11" x14ac:dyDescent="0.2"/>
    <row r="218" s="39" customFormat="1" ht="11" x14ac:dyDescent="0.2"/>
    <row r="219" s="39" customFormat="1" ht="11" x14ac:dyDescent="0.2"/>
    <row r="220" s="39" customFormat="1" ht="11" x14ac:dyDescent="0.2"/>
    <row r="221" s="39" customFormat="1" ht="11" x14ac:dyDescent="0.2"/>
    <row r="222" s="39" customFormat="1" ht="11" x14ac:dyDescent="0.2"/>
    <row r="223" s="39" customFormat="1" ht="11" x14ac:dyDescent="0.2"/>
    <row r="224" s="39" customFormat="1" ht="11" x14ac:dyDescent="0.2"/>
    <row r="225" s="39" customFormat="1" ht="11" x14ac:dyDescent="0.2"/>
    <row r="226" s="39" customFormat="1" ht="11" x14ac:dyDescent="0.2"/>
    <row r="227" s="39" customFormat="1" ht="11" x14ac:dyDescent="0.2"/>
    <row r="228" s="39" customFormat="1" ht="11" x14ac:dyDescent="0.2"/>
    <row r="229" s="39" customFormat="1" ht="11" x14ac:dyDescent="0.2"/>
    <row r="230" s="39" customFormat="1" ht="11" x14ac:dyDescent="0.2"/>
    <row r="231" s="39" customFormat="1" ht="11" x14ac:dyDescent="0.2"/>
    <row r="232" s="39" customFormat="1" ht="11" x14ac:dyDescent="0.2"/>
    <row r="233" s="39" customFormat="1" ht="11" x14ac:dyDescent="0.2"/>
    <row r="234" s="39" customFormat="1" ht="11" x14ac:dyDescent="0.2"/>
    <row r="235" s="39" customFormat="1" ht="11" x14ac:dyDescent="0.2"/>
    <row r="236" s="39" customFormat="1" ht="11" x14ac:dyDescent="0.2"/>
    <row r="237" s="39" customFormat="1" ht="11" x14ac:dyDescent="0.2"/>
    <row r="238" s="39" customFormat="1" ht="11" x14ac:dyDescent="0.2"/>
    <row r="239" s="39" customFormat="1" ht="11" x14ac:dyDescent="0.2"/>
    <row r="240" s="39" customFormat="1" ht="11" x14ac:dyDescent="0.2"/>
    <row r="241" s="39" customFormat="1" ht="11" x14ac:dyDescent="0.2"/>
    <row r="242" s="39" customFormat="1" ht="11" x14ac:dyDescent="0.2"/>
    <row r="243" s="39" customFormat="1" ht="11" x14ac:dyDescent="0.2"/>
    <row r="244" s="39" customFormat="1" ht="11" x14ac:dyDescent="0.2"/>
    <row r="245" s="39" customFormat="1" ht="11" x14ac:dyDescent="0.2"/>
    <row r="246" s="39" customFormat="1" ht="11" x14ac:dyDescent="0.2"/>
    <row r="247" s="39" customFormat="1" ht="11" x14ac:dyDescent="0.2"/>
    <row r="248" s="39" customFormat="1" ht="11" x14ac:dyDescent="0.2"/>
    <row r="249" s="39" customFormat="1" ht="11" x14ac:dyDescent="0.2"/>
    <row r="250" s="39" customFormat="1" ht="11" x14ac:dyDescent="0.2"/>
    <row r="251" s="39" customFormat="1" ht="11" x14ac:dyDescent="0.2"/>
    <row r="252" s="39" customFormat="1" ht="11" x14ac:dyDescent="0.2"/>
    <row r="253" s="39" customFormat="1" ht="11" x14ac:dyDescent="0.2"/>
    <row r="254" s="39" customFormat="1" ht="11" x14ac:dyDescent="0.2"/>
    <row r="255" s="39" customFormat="1" ht="11" x14ac:dyDescent="0.2"/>
    <row r="256" s="39" customFormat="1" ht="11" x14ac:dyDescent="0.2"/>
    <row r="257" s="39" customFormat="1" ht="11" x14ac:dyDescent="0.2"/>
    <row r="258" s="39" customFormat="1" ht="11" x14ac:dyDescent="0.2"/>
    <row r="259" s="39" customFormat="1" ht="11" x14ac:dyDescent="0.2"/>
    <row r="260" s="39" customFormat="1" ht="11" x14ac:dyDescent="0.2"/>
    <row r="261" s="39" customFormat="1" ht="11" x14ac:dyDescent="0.2"/>
    <row r="262" s="39" customFormat="1" ht="11" x14ac:dyDescent="0.2"/>
    <row r="263" s="39" customFormat="1" ht="11" x14ac:dyDescent="0.2"/>
    <row r="264" s="39" customFormat="1" ht="11" x14ac:dyDescent="0.2"/>
    <row r="265" s="39" customFormat="1" ht="11" x14ac:dyDescent="0.2"/>
    <row r="266" s="39" customFormat="1" ht="11" x14ac:dyDescent="0.2"/>
    <row r="267" s="39" customFormat="1" ht="11" x14ac:dyDescent="0.2"/>
    <row r="268" s="39" customFormat="1" ht="11" x14ac:dyDescent="0.2"/>
    <row r="269" s="39" customFormat="1" ht="11" x14ac:dyDescent="0.2"/>
    <row r="270" s="39" customFormat="1" ht="11" x14ac:dyDescent="0.2"/>
    <row r="271" s="39" customFormat="1" ht="11" x14ac:dyDescent="0.2"/>
    <row r="272" s="39" customFormat="1" ht="11" x14ac:dyDescent="0.2"/>
    <row r="273" s="39" customFormat="1" ht="11" x14ac:dyDescent="0.2"/>
    <row r="274" s="39" customFormat="1" ht="11" x14ac:dyDescent="0.2"/>
    <row r="275" s="39" customFormat="1" ht="11" x14ac:dyDescent="0.2"/>
    <row r="276" s="39" customFormat="1" ht="11" x14ac:dyDescent="0.2"/>
    <row r="277" s="39" customFormat="1" ht="11" x14ac:dyDescent="0.2"/>
    <row r="278" s="39" customFormat="1" ht="11" x14ac:dyDescent="0.2"/>
    <row r="279" s="39" customFormat="1" ht="11" x14ac:dyDescent="0.2"/>
    <row r="280" s="39" customFormat="1" ht="11" x14ac:dyDescent="0.2"/>
    <row r="281" s="39" customFormat="1" ht="11" x14ac:dyDescent="0.2"/>
    <row r="282" s="39" customFormat="1" ht="11" x14ac:dyDescent="0.2"/>
    <row r="283" s="39" customFormat="1" ht="11" x14ac:dyDescent="0.2"/>
    <row r="284" s="39" customFormat="1" ht="11" x14ac:dyDescent="0.2"/>
    <row r="285" s="39" customFormat="1" ht="11" x14ac:dyDescent="0.2"/>
    <row r="286" s="39" customFormat="1" ht="11" x14ac:dyDescent="0.2"/>
    <row r="287" s="39" customFormat="1" ht="11" x14ac:dyDescent="0.2"/>
    <row r="288" s="39" customFormat="1" ht="11" x14ac:dyDescent="0.2"/>
    <row r="289" s="39" customFormat="1" ht="11" x14ac:dyDescent="0.2"/>
    <row r="290" s="39" customFormat="1" ht="11" x14ac:dyDescent="0.2"/>
    <row r="291" s="39" customFormat="1" ht="11" x14ac:dyDescent="0.2"/>
    <row r="292" s="39" customFormat="1" ht="11" x14ac:dyDescent="0.2"/>
    <row r="293" s="39" customFormat="1" ht="11" x14ac:dyDescent="0.2"/>
    <row r="294" s="39" customFormat="1" ht="11" x14ac:dyDescent="0.2"/>
    <row r="295" s="39" customFormat="1" ht="11" x14ac:dyDescent="0.2"/>
    <row r="296" s="39" customFormat="1" ht="11" x14ac:dyDescent="0.2"/>
    <row r="297" s="39" customFormat="1" ht="11" x14ac:dyDescent="0.2"/>
    <row r="298" s="39" customFormat="1" ht="11" x14ac:dyDescent="0.2"/>
    <row r="299" s="39" customFormat="1" ht="11" x14ac:dyDescent="0.2"/>
    <row r="300" s="39" customFormat="1" ht="11" x14ac:dyDescent="0.2"/>
    <row r="301" s="39" customFormat="1" ht="11" x14ac:dyDescent="0.2"/>
    <row r="302" s="39" customFormat="1" ht="11" x14ac:dyDescent="0.2"/>
    <row r="303" s="39" customFormat="1" ht="11" x14ac:dyDescent="0.2"/>
    <row r="304" s="39" customFormat="1" ht="11" x14ac:dyDescent="0.2"/>
    <row r="305" s="39" customFormat="1" ht="11" x14ac:dyDescent="0.2"/>
    <row r="306" s="39" customFormat="1" ht="11" x14ac:dyDescent="0.2"/>
    <row r="307" s="39" customFormat="1" ht="11" x14ac:dyDescent="0.2"/>
    <row r="308" s="39" customFormat="1" ht="11" x14ac:dyDescent="0.2"/>
    <row r="309" s="39" customFormat="1" ht="11" x14ac:dyDescent="0.2"/>
    <row r="310" s="39" customFormat="1" ht="11" x14ac:dyDescent="0.2"/>
    <row r="311" s="39" customFormat="1" ht="11" x14ac:dyDescent="0.2"/>
    <row r="312" s="39" customFormat="1" ht="11" x14ac:dyDescent="0.2"/>
    <row r="313" s="39" customFormat="1" ht="11" x14ac:dyDescent="0.2"/>
    <row r="314" s="39" customFormat="1" ht="11" x14ac:dyDescent="0.2"/>
    <row r="315" s="39" customFormat="1" ht="11" x14ac:dyDescent="0.2"/>
    <row r="316" s="39" customFormat="1" ht="11" x14ac:dyDescent="0.2"/>
    <row r="317" s="39" customFormat="1" ht="11" x14ac:dyDescent="0.2"/>
    <row r="318" s="39" customFormat="1" ht="11" x14ac:dyDescent="0.2"/>
    <row r="319" s="39" customFormat="1" ht="11" x14ac:dyDescent="0.2"/>
    <row r="320" s="39" customFormat="1" ht="11" x14ac:dyDescent="0.2"/>
    <row r="321" s="39" customFormat="1" ht="11" x14ac:dyDescent="0.2"/>
    <row r="322" s="39" customFormat="1" ht="11" x14ac:dyDescent="0.2"/>
    <row r="323" s="39" customFormat="1" ht="11" x14ac:dyDescent="0.2"/>
    <row r="324" s="39" customFormat="1" ht="11" x14ac:dyDescent="0.2"/>
    <row r="325" s="39" customFormat="1" ht="11" x14ac:dyDescent="0.2"/>
    <row r="326" s="39" customFormat="1" ht="11" x14ac:dyDescent="0.2"/>
    <row r="327" s="39" customFormat="1" ht="11" x14ac:dyDescent="0.2"/>
    <row r="328" s="39" customFormat="1" ht="11" x14ac:dyDescent="0.2"/>
    <row r="329" s="39" customFormat="1" ht="11" x14ac:dyDescent="0.2"/>
    <row r="330" s="39" customFormat="1" ht="11" x14ac:dyDescent="0.2"/>
    <row r="331" s="39" customFormat="1" ht="11" x14ac:dyDescent="0.2"/>
    <row r="332" s="39" customFormat="1" ht="11" x14ac:dyDescent="0.2"/>
    <row r="333" s="39" customFormat="1" ht="11" x14ac:dyDescent="0.2"/>
    <row r="334" s="39" customFormat="1" ht="11" x14ac:dyDescent="0.2"/>
    <row r="335" s="39" customFormat="1" ht="11" x14ac:dyDescent="0.2"/>
    <row r="336" s="39" customFormat="1" ht="11" x14ac:dyDescent="0.2"/>
    <row r="337" s="39" customFormat="1" ht="11" x14ac:dyDescent="0.2"/>
    <row r="338" s="39" customFormat="1" ht="11" x14ac:dyDescent="0.2"/>
    <row r="339" s="39" customFormat="1" ht="11" x14ac:dyDescent="0.2"/>
    <row r="340" s="39" customFormat="1" ht="11" x14ac:dyDescent="0.2"/>
    <row r="341" s="39" customFormat="1" ht="11" x14ac:dyDescent="0.2"/>
    <row r="342" s="39" customFormat="1" ht="11" x14ac:dyDescent="0.2"/>
    <row r="343" s="39" customFormat="1" ht="11" x14ac:dyDescent="0.2"/>
    <row r="344" s="39" customFormat="1" ht="11" x14ac:dyDescent="0.2"/>
    <row r="345" s="39" customFormat="1" ht="11" x14ac:dyDescent="0.2"/>
    <row r="346" s="39" customFormat="1" ht="11" x14ac:dyDescent="0.2"/>
    <row r="347" s="39" customFormat="1" ht="11" x14ac:dyDescent="0.2"/>
    <row r="348" s="39" customFormat="1" ht="11" x14ac:dyDescent="0.2"/>
    <row r="349" s="39" customFormat="1" ht="11" x14ac:dyDescent="0.2"/>
    <row r="350" s="39" customFormat="1" ht="11" x14ac:dyDescent="0.2"/>
    <row r="351" s="39" customFormat="1" ht="11" x14ac:dyDescent="0.2"/>
    <row r="352" s="39" customFormat="1" ht="11" x14ac:dyDescent="0.2"/>
    <row r="353" s="39" customFormat="1" ht="11" x14ac:dyDescent="0.2"/>
    <row r="354" s="39" customFormat="1" ht="11" x14ac:dyDescent="0.2"/>
    <row r="355" s="39" customFormat="1" ht="11" x14ac:dyDescent="0.2"/>
    <row r="356" s="39" customFormat="1" ht="11" x14ac:dyDescent="0.2"/>
    <row r="357" s="39" customFormat="1" ht="11" x14ac:dyDescent="0.2"/>
    <row r="358" s="39" customFormat="1" ht="11" x14ac:dyDescent="0.2"/>
    <row r="359" s="39" customFormat="1" ht="11" x14ac:dyDescent="0.2"/>
    <row r="360" s="39" customFormat="1" ht="11" x14ac:dyDescent="0.2"/>
    <row r="361" s="39" customFormat="1" ht="11" x14ac:dyDescent="0.2"/>
    <row r="362" s="39" customFormat="1" ht="11" x14ac:dyDescent="0.2"/>
    <row r="363" s="39" customFormat="1" ht="11" x14ac:dyDescent="0.2"/>
    <row r="364" s="39" customFormat="1" ht="11" x14ac:dyDescent="0.2"/>
    <row r="365" s="39" customFormat="1" ht="11" x14ac:dyDescent="0.2"/>
    <row r="366" s="39" customFormat="1" ht="11" x14ac:dyDescent="0.2"/>
    <row r="367" s="39" customFormat="1" ht="11" x14ac:dyDescent="0.2"/>
    <row r="368" s="39" customFormat="1" ht="11" x14ac:dyDescent="0.2"/>
    <row r="369" s="39" customFormat="1" ht="11" x14ac:dyDescent="0.2"/>
    <row r="370" s="39" customFormat="1" ht="11" x14ac:dyDescent="0.2"/>
    <row r="371" s="39" customFormat="1" ht="11" x14ac:dyDescent="0.2"/>
    <row r="372" s="39" customFormat="1" ht="11" x14ac:dyDescent="0.2"/>
    <row r="373" s="39" customFormat="1" ht="11" x14ac:dyDescent="0.2"/>
    <row r="374" s="39" customFormat="1" ht="11" x14ac:dyDescent="0.2"/>
    <row r="375" s="39" customFormat="1" ht="11" x14ac:dyDescent="0.2"/>
    <row r="376" s="39" customFormat="1" ht="11" x14ac:dyDescent="0.2"/>
    <row r="377" s="39" customFormat="1" ht="11" x14ac:dyDescent="0.2"/>
    <row r="378" s="39" customFormat="1" ht="11" x14ac:dyDescent="0.2"/>
    <row r="379" s="39" customFormat="1" ht="11" x14ac:dyDescent="0.2"/>
    <row r="380" s="39" customFormat="1" ht="11" x14ac:dyDescent="0.2"/>
    <row r="381" s="39" customFormat="1" ht="11" x14ac:dyDescent="0.2"/>
    <row r="382" s="39" customFormat="1" ht="11" x14ac:dyDescent="0.2"/>
    <row r="383" s="39" customFormat="1" ht="11" x14ac:dyDescent="0.2"/>
    <row r="384" s="39" customFormat="1" ht="11" x14ac:dyDescent="0.2"/>
    <row r="385" s="39" customFormat="1" ht="11" x14ac:dyDescent="0.2"/>
    <row r="386" s="39" customFormat="1" ht="11" x14ac:dyDescent="0.2"/>
    <row r="387" s="39" customFormat="1" ht="11" x14ac:dyDescent="0.2"/>
    <row r="388" s="39" customFormat="1" ht="11" x14ac:dyDescent="0.2"/>
    <row r="389" s="39" customFormat="1" ht="11" x14ac:dyDescent="0.2"/>
    <row r="390" s="39" customFormat="1" ht="11" x14ac:dyDescent="0.2"/>
    <row r="391" s="39" customFormat="1" ht="11" x14ac:dyDescent="0.2"/>
    <row r="392" s="39" customFormat="1" ht="11" x14ac:dyDescent="0.2"/>
    <row r="393" s="39" customFormat="1" ht="11" x14ac:dyDescent="0.2"/>
    <row r="394" s="39" customFormat="1" ht="11" x14ac:dyDescent="0.2"/>
    <row r="395" s="39" customFormat="1" ht="11" x14ac:dyDescent="0.2"/>
    <row r="396" s="39" customFormat="1" ht="11" x14ac:dyDescent="0.2"/>
    <row r="397" s="39" customFormat="1" ht="11" x14ac:dyDescent="0.2"/>
    <row r="398" s="39" customFormat="1" ht="11" x14ac:dyDescent="0.2"/>
    <row r="399" s="39" customFormat="1" ht="11" x14ac:dyDescent="0.2"/>
    <row r="400" s="39" customFormat="1" ht="11" x14ac:dyDescent="0.2"/>
    <row r="401" s="39" customFormat="1" ht="11" x14ac:dyDescent="0.2"/>
    <row r="402" s="39" customFormat="1" ht="11" x14ac:dyDescent="0.2"/>
    <row r="403" s="39" customFormat="1" ht="11" x14ac:dyDescent="0.2"/>
    <row r="404" s="39" customFormat="1" ht="11" x14ac:dyDescent="0.2"/>
    <row r="405" s="39" customFormat="1" ht="11" x14ac:dyDescent="0.2"/>
    <row r="406" s="39" customFormat="1" ht="11" x14ac:dyDescent="0.2"/>
    <row r="407" s="39" customFormat="1" ht="11" x14ac:dyDescent="0.2"/>
    <row r="408" s="39" customFormat="1" ht="11" x14ac:dyDescent="0.2"/>
    <row r="409" s="39" customFormat="1" ht="11" x14ac:dyDescent="0.2"/>
    <row r="410" s="39" customFormat="1" ht="11" x14ac:dyDescent="0.2"/>
    <row r="411" s="39" customFormat="1" ht="11" x14ac:dyDescent="0.2"/>
    <row r="412" s="39" customFormat="1" ht="11" x14ac:dyDescent="0.2"/>
    <row r="413" s="39" customFormat="1" ht="11" x14ac:dyDescent="0.2"/>
    <row r="414" s="39" customFormat="1" ht="11" x14ac:dyDescent="0.2"/>
    <row r="415" s="39" customFormat="1" ht="11" x14ac:dyDescent="0.2"/>
    <row r="416" s="39" customFormat="1" ht="11" x14ac:dyDescent="0.2"/>
    <row r="417" s="39" customFormat="1" ht="11" x14ac:dyDescent="0.2"/>
    <row r="418" s="39" customFormat="1" ht="11" x14ac:dyDescent="0.2"/>
    <row r="419" s="39" customFormat="1" ht="11" x14ac:dyDescent="0.2"/>
    <row r="420" s="39" customFormat="1" ht="11" x14ac:dyDescent="0.2"/>
    <row r="421" s="39" customFormat="1" ht="11" x14ac:dyDescent="0.2"/>
    <row r="422" s="39" customFormat="1" ht="11" x14ac:dyDescent="0.2"/>
    <row r="423" s="39" customFormat="1" ht="11" x14ac:dyDescent="0.2"/>
    <row r="424" s="39" customFormat="1" ht="11" x14ac:dyDescent="0.2"/>
    <row r="425" s="39" customFormat="1" ht="11" x14ac:dyDescent="0.2"/>
    <row r="426" s="39" customFormat="1" ht="11" x14ac:dyDescent="0.2"/>
    <row r="427" s="39" customFormat="1" ht="11" x14ac:dyDescent="0.2"/>
    <row r="428" s="39" customFormat="1" ht="11" x14ac:dyDescent="0.2"/>
    <row r="429" s="39" customFormat="1" ht="11" x14ac:dyDescent="0.2"/>
    <row r="430" s="39" customFormat="1" ht="11" x14ac:dyDescent="0.2"/>
    <row r="431" s="39" customFormat="1" ht="11" x14ac:dyDescent="0.2"/>
    <row r="432" s="39" customFormat="1" ht="11" x14ac:dyDescent="0.2"/>
    <row r="433" s="39" customFormat="1" ht="11" x14ac:dyDescent="0.2"/>
    <row r="434" s="39" customFormat="1" ht="11" x14ac:dyDescent="0.2"/>
    <row r="435" s="39" customFormat="1" ht="11" x14ac:dyDescent="0.2"/>
    <row r="436" s="39" customFormat="1" ht="11" x14ac:dyDescent="0.2"/>
    <row r="437" s="39" customFormat="1" ht="11" x14ac:dyDescent="0.2"/>
    <row r="438" s="39" customFormat="1" ht="11" x14ac:dyDescent="0.2"/>
    <row r="439" s="39" customFormat="1" ht="11" x14ac:dyDescent="0.2"/>
    <row r="440" s="39" customFormat="1" ht="11" x14ac:dyDescent="0.2"/>
    <row r="441" s="39" customFormat="1" ht="11" x14ac:dyDescent="0.2"/>
    <row r="442" s="39" customFormat="1" ht="11" x14ac:dyDescent="0.2"/>
    <row r="443" s="39" customFormat="1" ht="11" x14ac:dyDescent="0.2"/>
    <row r="444" s="39" customFormat="1" ht="11" x14ac:dyDescent="0.2"/>
    <row r="445" s="39" customFormat="1" ht="11" x14ac:dyDescent="0.2"/>
    <row r="446" s="39" customFormat="1" ht="11" x14ac:dyDescent="0.2"/>
    <row r="447" s="39" customFormat="1" ht="11" x14ac:dyDescent="0.2"/>
    <row r="448" s="39" customFormat="1" ht="11" x14ac:dyDescent="0.2"/>
    <row r="449" spans="1:8" s="39" customFormat="1" ht="11" x14ac:dyDescent="0.2"/>
    <row r="450" spans="1:8" s="39" customFormat="1" ht="11" x14ac:dyDescent="0.2"/>
    <row r="451" spans="1:8" s="39" customFormat="1" ht="11" x14ac:dyDescent="0.2"/>
    <row r="452" spans="1:8" x14ac:dyDescent="0.2">
      <c r="A452" s="39"/>
      <c r="B452" s="39"/>
      <c r="C452" s="39"/>
      <c r="D452" s="39"/>
      <c r="E452" s="39"/>
      <c r="F452" s="39"/>
      <c r="G452" s="39"/>
      <c r="H452" s="39"/>
    </row>
    <row r="453" spans="1:8" x14ac:dyDescent="0.2">
      <c r="A453" s="39"/>
      <c r="B453" s="39"/>
      <c r="C453" s="39"/>
      <c r="D453" s="39"/>
      <c r="E453" s="39"/>
      <c r="F453" s="39"/>
      <c r="G453" s="39"/>
      <c r="H453" s="39"/>
    </row>
    <row r="454" spans="1:8" x14ac:dyDescent="0.2">
      <c r="A454" s="39"/>
      <c r="B454" s="39"/>
      <c r="C454" s="39"/>
      <c r="D454" s="39"/>
      <c r="E454" s="39"/>
      <c r="F454" s="39"/>
      <c r="G454" s="39"/>
      <c r="H454" s="39"/>
    </row>
    <row r="455" spans="1:8" x14ac:dyDescent="0.2">
      <c r="A455" s="39"/>
      <c r="B455" s="39"/>
      <c r="C455" s="39"/>
      <c r="D455" s="39"/>
      <c r="E455" s="39"/>
      <c r="F455" s="39"/>
      <c r="G455" s="39"/>
      <c r="H455" s="39"/>
    </row>
    <row r="456" spans="1:8" x14ac:dyDescent="0.2">
      <c r="A456" s="39"/>
      <c r="B456" s="39"/>
      <c r="C456" s="39"/>
      <c r="D456" s="39"/>
      <c r="E456" s="39"/>
      <c r="F456" s="39"/>
      <c r="G456" s="39"/>
      <c r="H456" s="39"/>
    </row>
    <row r="457" spans="1:8" x14ac:dyDescent="0.2">
      <c r="A457" s="39"/>
      <c r="B457" s="39"/>
      <c r="C457" s="39"/>
      <c r="D457" s="39"/>
      <c r="E457" s="39"/>
      <c r="F457" s="39"/>
      <c r="G457" s="39"/>
      <c r="H457" s="39"/>
    </row>
    <row r="458" spans="1:8" x14ac:dyDescent="0.2">
      <c r="A458" s="39"/>
      <c r="B458" s="39"/>
      <c r="C458" s="39"/>
      <c r="D458" s="39"/>
      <c r="E458" s="39"/>
      <c r="F458" s="39"/>
      <c r="G458" s="39"/>
      <c r="H458" s="39"/>
    </row>
    <row r="459" spans="1:8" x14ac:dyDescent="0.2">
      <c r="A459" s="39"/>
      <c r="B459" s="39"/>
      <c r="C459" s="39"/>
      <c r="D459" s="39"/>
      <c r="E459" s="39"/>
      <c r="F459" s="39"/>
      <c r="G459" s="39"/>
      <c r="H459" s="39"/>
    </row>
    <row r="460" spans="1:8" x14ac:dyDescent="0.2">
      <c r="A460" s="39"/>
      <c r="B460" s="39"/>
      <c r="C460" s="39"/>
      <c r="D460" s="39"/>
      <c r="E460" s="39"/>
      <c r="F460" s="39"/>
      <c r="G460" s="39"/>
      <c r="H460" s="39"/>
    </row>
    <row r="461" spans="1:8" x14ac:dyDescent="0.2">
      <c r="A461" s="39"/>
      <c r="B461" s="39"/>
      <c r="C461" s="39"/>
      <c r="D461" s="39"/>
      <c r="E461" s="39"/>
      <c r="F461" s="39"/>
      <c r="G461" s="39"/>
      <c r="H461" s="39"/>
    </row>
  </sheetData>
  <sheetProtection formatCells="0" formatColumns="0" formatRows="0" insertColumns="0" insertRows="0" insertHyperlinks="0" deleteColumns="0" deleteRows="0" selectLockedCells="1" sort="0" autoFilter="0" pivotTables="0"/>
  <pageMargins left="0.7" right="0.7" top="0.75" bottom="0.75" header="0.3" footer="0.3"/>
  <pageSetup scale="68" fitToHeight="0" orientation="portrait" horizontalDpi="300" verticalDpi="300" r:id="rId1"/>
  <drawing r:id="rId2"/>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00000000-0002-0000-0D00-000000000000}">
          <x14:formula1>
            <xm:f>'CoBIT maturity key'!$B$4:$B$9</xm:f>
          </x14:formula1>
          <xm:sqref>D6:F20 D22:F129</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FFFF00"/>
    <pageSetUpPr fitToPage="1"/>
  </sheetPr>
  <dimension ref="A1:I461"/>
  <sheetViews>
    <sheetView zoomScale="115" zoomScaleNormal="115" zoomScalePageLayoutView="125" workbookViewId="0">
      <pane ySplit="4" topLeftCell="A5" activePane="bottomLeft" state="frozen"/>
      <selection pane="bottomLeft" activeCell="A3" sqref="A3"/>
    </sheetView>
  </sheetViews>
  <sheetFormatPr baseColWidth="10" defaultColWidth="8.83203125" defaultRowHeight="15" x14ac:dyDescent="0.2"/>
  <cols>
    <col min="1" max="1" width="125.83203125" style="34" customWidth="1"/>
    <col min="2" max="2" width="85.5" style="59" bestFit="1" customWidth="1"/>
    <col min="3" max="3" width="34.5" style="59" customWidth="1"/>
    <col min="4" max="4" width="13.5" style="34" customWidth="1"/>
    <col min="5" max="5" width="18.5" style="34" customWidth="1"/>
    <col min="6" max="6" width="21.5" style="34" customWidth="1"/>
    <col min="7" max="7" width="15.5" style="34" hidden="1" customWidth="1"/>
    <col min="8" max="8" width="51.5" style="34" customWidth="1"/>
    <col min="9" max="16384" width="8.83203125" style="34"/>
  </cols>
  <sheetData>
    <row r="1" spans="1:9" s="58" customFormat="1" ht="24.75" customHeight="1" x14ac:dyDescent="0.2">
      <c r="A1" s="56"/>
      <c r="B1" s="57"/>
      <c r="C1" s="57"/>
    </row>
    <row r="2" spans="1:9" s="30" customFormat="1" ht="22.5" customHeight="1" x14ac:dyDescent="0.2">
      <c r="A2" s="30" t="s">
        <v>1060</v>
      </c>
      <c r="H2" s="31"/>
      <c r="I2" s="31"/>
    </row>
    <row r="3" spans="1:9" s="165" customFormat="1" ht="51.75" customHeight="1" x14ac:dyDescent="0.2">
      <c r="A3" s="165" t="s">
        <v>1061</v>
      </c>
    </row>
    <row r="4" spans="1:9" s="26" customFormat="1" ht="21" customHeight="1" x14ac:dyDescent="0.2">
      <c r="A4" s="26" t="s">
        <v>1054</v>
      </c>
      <c r="B4" s="26" t="s">
        <v>1055</v>
      </c>
      <c r="C4" s="26" t="s">
        <v>1056</v>
      </c>
      <c r="D4" s="27" t="s">
        <v>1057</v>
      </c>
      <c r="E4" s="27"/>
      <c r="F4" s="27"/>
      <c r="G4" s="27" t="s">
        <v>74</v>
      </c>
    </row>
    <row r="5" spans="1:9" s="121" customFormat="1" ht="21" customHeight="1" x14ac:dyDescent="0.2">
      <c r="A5" s="121" t="s">
        <v>1062</v>
      </c>
    </row>
    <row r="6" spans="1:9" s="39" customFormat="1" ht="21" customHeight="1" x14ac:dyDescent="0.2">
      <c r="G6" s="39">
        <v>5</v>
      </c>
    </row>
    <row r="7" spans="1:9" s="39" customFormat="1" ht="21" customHeight="1" x14ac:dyDescent="0.2">
      <c r="G7" s="39">
        <v>5</v>
      </c>
    </row>
    <row r="8" spans="1:9" s="39" customFormat="1" ht="21" customHeight="1" x14ac:dyDescent="0.2">
      <c r="G8" s="39">
        <v>5</v>
      </c>
    </row>
    <row r="9" spans="1:9" s="39" customFormat="1" ht="21" customHeight="1" x14ac:dyDescent="0.2">
      <c r="G9" s="39">
        <v>5</v>
      </c>
    </row>
    <row r="10" spans="1:9" s="39" customFormat="1" ht="21" customHeight="1" x14ac:dyDescent="0.2">
      <c r="G10" s="39">
        <v>5</v>
      </c>
    </row>
    <row r="11" spans="1:9" s="39" customFormat="1" ht="21" customHeight="1" x14ac:dyDescent="0.2">
      <c r="G11" s="39">
        <v>5</v>
      </c>
    </row>
    <row r="12" spans="1:9" s="39" customFormat="1" ht="21" customHeight="1" x14ac:dyDescent="0.2">
      <c r="G12" s="39">
        <v>5</v>
      </c>
    </row>
    <row r="13" spans="1:9" s="39" customFormat="1" ht="21" customHeight="1" x14ac:dyDescent="0.2">
      <c r="G13" s="39">
        <v>5</v>
      </c>
    </row>
    <row r="14" spans="1:9" s="39" customFormat="1" ht="21" customHeight="1" x14ac:dyDescent="0.2">
      <c r="G14" s="39">
        <v>5</v>
      </c>
    </row>
    <row r="15" spans="1:9" s="39" customFormat="1" ht="21" customHeight="1" x14ac:dyDescent="0.2"/>
    <row r="16" spans="1:9" s="39" customFormat="1" ht="21" customHeight="1" x14ac:dyDescent="0.2">
      <c r="G16" s="39">
        <v>5</v>
      </c>
    </row>
    <row r="17" spans="1:7" s="39" customFormat="1" ht="21" customHeight="1" x14ac:dyDescent="0.2">
      <c r="G17" s="39">
        <v>5</v>
      </c>
    </row>
    <row r="18" spans="1:7" s="39" customFormat="1" ht="21" customHeight="1" x14ac:dyDescent="0.2">
      <c r="G18" s="39">
        <v>5</v>
      </c>
    </row>
    <row r="19" spans="1:7" s="39" customFormat="1" ht="21" customHeight="1" x14ac:dyDescent="0.2">
      <c r="G19" s="39">
        <v>5</v>
      </c>
    </row>
    <row r="20" spans="1:7" s="39" customFormat="1" ht="21" customHeight="1" x14ac:dyDescent="0.2">
      <c r="G20" s="39">
        <v>5</v>
      </c>
    </row>
    <row r="21" spans="1:7" s="121" customFormat="1" ht="21" customHeight="1" x14ac:dyDescent="0.2">
      <c r="A21" s="121" t="s">
        <v>1059</v>
      </c>
    </row>
    <row r="22" spans="1:7" s="39" customFormat="1" ht="21" customHeight="1" x14ac:dyDescent="0.2">
      <c r="G22" s="39">
        <v>5</v>
      </c>
    </row>
    <row r="23" spans="1:7" s="39" customFormat="1" ht="21" customHeight="1" x14ac:dyDescent="0.2">
      <c r="G23" s="39">
        <v>5</v>
      </c>
    </row>
    <row r="24" spans="1:7" s="39" customFormat="1" ht="21" customHeight="1" x14ac:dyDescent="0.2">
      <c r="G24" s="39">
        <v>5</v>
      </c>
    </row>
    <row r="25" spans="1:7" s="39" customFormat="1" ht="21" customHeight="1" x14ac:dyDescent="0.2">
      <c r="G25" s="39">
        <v>5</v>
      </c>
    </row>
    <row r="26" spans="1:7" s="39" customFormat="1" ht="21" customHeight="1" x14ac:dyDescent="0.2">
      <c r="G26" s="39">
        <v>5</v>
      </c>
    </row>
    <row r="27" spans="1:7" s="39" customFormat="1" ht="21" customHeight="1" x14ac:dyDescent="0.2">
      <c r="G27" s="39">
        <v>5</v>
      </c>
    </row>
    <row r="28" spans="1:7" s="39" customFormat="1" ht="21" customHeight="1" x14ac:dyDescent="0.2">
      <c r="G28" s="39">
        <v>5</v>
      </c>
    </row>
    <row r="29" spans="1:7" s="39" customFormat="1" ht="21" customHeight="1" x14ac:dyDescent="0.2">
      <c r="G29" s="39">
        <v>5</v>
      </c>
    </row>
    <row r="30" spans="1:7" s="39" customFormat="1" ht="21" customHeight="1" x14ac:dyDescent="0.2">
      <c r="G30" s="39">
        <v>5</v>
      </c>
    </row>
    <row r="31" spans="1:7" s="39" customFormat="1" ht="21" customHeight="1" x14ac:dyDescent="0.2">
      <c r="G31" s="39">
        <v>5</v>
      </c>
    </row>
    <row r="32" spans="1:7" s="39" customFormat="1" ht="21" customHeight="1" x14ac:dyDescent="0.2"/>
    <row r="33" spans="7:7" s="39" customFormat="1" ht="21" customHeight="1" x14ac:dyDescent="0.2">
      <c r="G33" s="39">
        <v>5</v>
      </c>
    </row>
    <row r="34" spans="7:7" s="39" customFormat="1" ht="21" customHeight="1" x14ac:dyDescent="0.2">
      <c r="G34" s="39">
        <v>5</v>
      </c>
    </row>
    <row r="35" spans="7:7" s="39" customFormat="1" ht="21" customHeight="1" x14ac:dyDescent="0.2">
      <c r="G35" s="39">
        <v>5</v>
      </c>
    </row>
    <row r="36" spans="7:7" s="39" customFormat="1" ht="21" customHeight="1" x14ac:dyDescent="0.2">
      <c r="G36" s="39">
        <v>5</v>
      </c>
    </row>
    <row r="37" spans="7:7" s="39" customFormat="1" ht="21" customHeight="1" x14ac:dyDescent="0.2">
      <c r="G37" s="39">
        <v>5</v>
      </c>
    </row>
    <row r="38" spans="7:7" s="39" customFormat="1" ht="21" customHeight="1" x14ac:dyDescent="0.2">
      <c r="G38" s="39">
        <v>5</v>
      </c>
    </row>
    <row r="39" spans="7:7" s="39" customFormat="1" ht="21" customHeight="1" x14ac:dyDescent="0.2">
      <c r="G39" s="39">
        <v>5</v>
      </c>
    </row>
    <row r="40" spans="7:7" s="39" customFormat="1" ht="21" customHeight="1" x14ac:dyDescent="0.2">
      <c r="G40" s="39">
        <v>5</v>
      </c>
    </row>
    <row r="41" spans="7:7" s="39" customFormat="1" ht="21" customHeight="1" x14ac:dyDescent="0.2"/>
    <row r="42" spans="7:7" s="39" customFormat="1" ht="21" customHeight="1" x14ac:dyDescent="0.2">
      <c r="G42" s="39">
        <v>5</v>
      </c>
    </row>
    <row r="43" spans="7:7" s="39" customFormat="1" ht="21" customHeight="1" x14ac:dyDescent="0.2">
      <c r="G43" s="39">
        <v>5</v>
      </c>
    </row>
    <row r="44" spans="7:7" s="39" customFormat="1" ht="21" customHeight="1" x14ac:dyDescent="0.2">
      <c r="G44" s="39">
        <v>5</v>
      </c>
    </row>
    <row r="45" spans="7:7" s="39" customFormat="1" ht="21" customHeight="1" x14ac:dyDescent="0.2">
      <c r="G45" s="39">
        <v>5</v>
      </c>
    </row>
    <row r="46" spans="7:7" s="39" customFormat="1" ht="21" customHeight="1" x14ac:dyDescent="0.2">
      <c r="G46" s="39">
        <v>5</v>
      </c>
    </row>
    <row r="47" spans="7:7" s="39" customFormat="1" ht="21" customHeight="1" x14ac:dyDescent="0.2">
      <c r="G47" s="39">
        <v>5</v>
      </c>
    </row>
    <row r="48" spans="7:7" s="39" customFormat="1" ht="21" customHeight="1" x14ac:dyDescent="0.2">
      <c r="G48" s="39">
        <v>5</v>
      </c>
    </row>
    <row r="49" spans="7:7" s="39" customFormat="1" ht="21" customHeight="1" x14ac:dyDescent="0.2">
      <c r="G49" s="39">
        <v>5</v>
      </c>
    </row>
    <row r="50" spans="7:7" s="39" customFormat="1" ht="21" customHeight="1" x14ac:dyDescent="0.2">
      <c r="G50" s="39">
        <v>5</v>
      </c>
    </row>
    <row r="51" spans="7:7" s="39" customFormat="1" ht="21" customHeight="1" x14ac:dyDescent="0.2">
      <c r="G51" s="39">
        <v>5</v>
      </c>
    </row>
    <row r="52" spans="7:7" s="39" customFormat="1" ht="21" customHeight="1" x14ac:dyDescent="0.2">
      <c r="G52" s="39">
        <v>5</v>
      </c>
    </row>
    <row r="53" spans="7:7" s="39" customFormat="1" ht="21" customHeight="1" x14ac:dyDescent="0.2">
      <c r="G53" s="39">
        <v>5</v>
      </c>
    </row>
    <row r="54" spans="7:7" s="39" customFormat="1" ht="21" customHeight="1" x14ac:dyDescent="0.2">
      <c r="G54" s="39">
        <v>5</v>
      </c>
    </row>
    <row r="55" spans="7:7" s="39" customFormat="1" ht="21" customHeight="1" x14ac:dyDescent="0.2"/>
    <row r="56" spans="7:7" s="39" customFormat="1" ht="21" customHeight="1" x14ac:dyDescent="0.2">
      <c r="G56" s="39">
        <v>5</v>
      </c>
    </row>
    <row r="57" spans="7:7" s="39" customFormat="1" ht="21" customHeight="1" x14ac:dyDescent="0.2">
      <c r="G57" s="39">
        <v>5</v>
      </c>
    </row>
    <row r="58" spans="7:7" s="39" customFormat="1" ht="21" customHeight="1" x14ac:dyDescent="0.2">
      <c r="G58" s="39">
        <v>5</v>
      </c>
    </row>
    <row r="59" spans="7:7" s="39" customFormat="1" ht="21" customHeight="1" x14ac:dyDescent="0.2">
      <c r="G59" s="39">
        <v>5</v>
      </c>
    </row>
    <row r="60" spans="7:7" s="39" customFormat="1" ht="21" customHeight="1" x14ac:dyDescent="0.2"/>
    <row r="61" spans="7:7" s="39" customFormat="1" ht="21" customHeight="1" x14ac:dyDescent="0.2">
      <c r="G61" s="39">
        <v>5</v>
      </c>
    </row>
    <row r="62" spans="7:7" s="39" customFormat="1" ht="21" customHeight="1" x14ac:dyDescent="0.2">
      <c r="G62" s="39">
        <v>5</v>
      </c>
    </row>
    <row r="63" spans="7:7" s="39" customFormat="1" ht="21" customHeight="1" x14ac:dyDescent="0.2">
      <c r="G63" s="39">
        <v>5</v>
      </c>
    </row>
    <row r="64" spans="7:7" s="39" customFormat="1" ht="21" customHeight="1" x14ac:dyDescent="0.2">
      <c r="G64" s="39">
        <v>5</v>
      </c>
    </row>
    <row r="65" spans="7:7" s="39" customFormat="1" ht="21" customHeight="1" x14ac:dyDescent="0.2">
      <c r="G65" s="39">
        <v>5</v>
      </c>
    </row>
    <row r="66" spans="7:7" s="39" customFormat="1" ht="21" customHeight="1" x14ac:dyDescent="0.2">
      <c r="G66" s="39">
        <v>5</v>
      </c>
    </row>
    <row r="67" spans="7:7" s="39" customFormat="1" ht="21" customHeight="1" x14ac:dyDescent="0.2">
      <c r="G67" s="39">
        <v>5</v>
      </c>
    </row>
    <row r="68" spans="7:7" s="39" customFormat="1" ht="21" customHeight="1" x14ac:dyDescent="0.2">
      <c r="G68" s="39">
        <v>5</v>
      </c>
    </row>
    <row r="69" spans="7:7" s="39" customFormat="1" ht="21" customHeight="1" x14ac:dyDescent="0.2">
      <c r="G69" s="39">
        <v>5</v>
      </c>
    </row>
    <row r="70" spans="7:7" s="39" customFormat="1" ht="21" customHeight="1" x14ac:dyDescent="0.2">
      <c r="G70" s="39">
        <v>5</v>
      </c>
    </row>
    <row r="71" spans="7:7" s="39" customFormat="1" ht="21" customHeight="1" x14ac:dyDescent="0.2">
      <c r="G71" s="39">
        <v>5</v>
      </c>
    </row>
    <row r="72" spans="7:7" s="39" customFormat="1" ht="21" customHeight="1" x14ac:dyDescent="0.2">
      <c r="G72" s="39">
        <v>5</v>
      </c>
    </row>
    <row r="73" spans="7:7" s="39" customFormat="1" ht="21" customHeight="1" x14ac:dyDescent="0.2">
      <c r="G73" s="39">
        <v>5</v>
      </c>
    </row>
    <row r="74" spans="7:7" s="39" customFormat="1" ht="21" customHeight="1" x14ac:dyDescent="0.2">
      <c r="G74" s="39">
        <v>5</v>
      </c>
    </row>
    <row r="75" spans="7:7" s="39" customFormat="1" ht="21" customHeight="1" x14ac:dyDescent="0.2">
      <c r="G75" s="39">
        <v>5</v>
      </c>
    </row>
    <row r="76" spans="7:7" s="39" customFormat="1" ht="21" customHeight="1" x14ac:dyDescent="0.2">
      <c r="G76" s="39">
        <v>5</v>
      </c>
    </row>
    <row r="77" spans="7:7" s="39" customFormat="1" ht="21" customHeight="1" x14ac:dyDescent="0.2">
      <c r="G77" s="39">
        <v>5</v>
      </c>
    </row>
    <row r="78" spans="7:7" s="39" customFormat="1" ht="21" customHeight="1" x14ac:dyDescent="0.2">
      <c r="G78" s="39">
        <v>5</v>
      </c>
    </row>
    <row r="79" spans="7:7" s="39" customFormat="1" ht="21" customHeight="1" x14ac:dyDescent="0.2">
      <c r="G79" s="39">
        <v>5</v>
      </c>
    </row>
    <row r="80" spans="7:7" s="39" customFormat="1" ht="21" customHeight="1" x14ac:dyDescent="0.2">
      <c r="G80" s="39">
        <v>5</v>
      </c>
    </row>
    <row r="81" spans="7:7" s="39" customFormat="1" ht="21" customHeight="1" x14ac:dyDescent="0.2">
      <c r="G81" s="39">
        <v>5</v>
      </c>
    </row>
    <row r="82" spans="7:7" s="39" customFormat="1" ht="21" customHeight="1" x14ac:dyDescent="0.2">
      <c r="G82" s="39">
        <v>5</v>
      </c>
    </row>
    <row r="83" spans="7:7" s="39" customFormat="1" ht="21" customHeight="1" x14ac:dyDescent="0.2">
      <c r="G83" s="39">
        <v>5</v>
      </c>
    </row>
    <row r="84" spans="7:7" s="39" customFormat="1" ht="21" customHeight="1" x14ac:dyDescent="0.2">
      <c r="G84" s="39">
        <v>5</v>
      </c>
    </row>
    <row r="85" spans="7:7" s="39" customFormat="1" ht="21" customHeight="1" x14ac:dyDescent="0.2">
      <c r="G85" s="39">
        <v>5</v>
      </c>
    </row>
    <row r="86" spans="7:7" s="39" customFormat="1" ht="21" customHeight="1" x14ac:dyDescent="0.2">
      <c r="G86" s="39">
        <v>5</v>
      </c>
    </row>
    <row r="87" spans="7:7" s="39" customFormat="1" ht="21" customHeight="1" x14ac:dyDescent="0.2">
      <c r="G87" s="39">
        <v>5</v>
      </c>
    </row>
    <row r="88" spans="7:7" s="39" customFormat="1" ht="21" customHeight="1" x14ac:dyDescent="0.2">
      <c r="G88" s="39">
        <v>5</v>
      </c>
    </row>
    <row r="89" spans="7:7" s="39" customFormat="1" ht="21" customHeight="1" x14ac:dyDescent="0.2">
      <c r="G89" s="39">
        <v>5</v>
      </c>
    </row>
    <row r="90" spans="7:7" s="39" customFormat="1" ht="21" customHeight="1" x14ac:dyDescent="0.2">
      <c r="G90" s="39">
        <v>5</v>
      </c>
    </row>
    <row r="91" spans="7:7" s="39" customFormat="1" ht="21" customHeight="1" x14ac:dyDescent="0.2">
      <c r="G91" s="39">
        <v>5</v>
      </c>
    </row>
    <row r="92" spans="7:7" s="39" customFormat="1" ht="21" customHeight="1" x14ac:dyDescent="0.2">
      <c r="G92" s="39">
        <v>5</v>
      </c>
    </row>
    <row r="93" spans="7:7" s="39" customFormat="1" ht="21" customHeight="1" x14ac:dyDescent="0.2">
      <c r="G93" s="39">
        <v>5</v>
      </c>
    </row>
    <row r="94" spans="7:7" s="39" customFormat="1" ht="21" customHeight="1" x14ac:dyDescent="0.2">
      <c r="G94" s="39">
        <v>5</v>
      </c>
    </row>
    <row r="95" spans="7:7" s="39" customFormat="1" ht="21" customHeight="1" x14ac:dyDescent="0.2">
      <c r="G95" s="39">
        <v>5</v>
      </c>
    </row>
    <row r="96" spans="7:7" s="39" customFormat="1" ht="21" customHeight="1" x14ac:dyDescent="0.2">
      <c r="G96" s="39">
        <v>5</v>
      </c>
    </row>
    <row r="97" spans="7:7" s="39" customFormat="1" ht="21" customHeight="1" x14ac:dyDescent="0.2">
      <c r="G97" s="39">
        <v>5</v>
      </c>
    </row>
    <row r="98" spans="7:7" s="39" customFormat="1" ht="21" customHeight="1" x14ac:dyDescent="0.2">
      <c r="G98" s="39">
        <v>5</v>
      </c>
    </row>
    <row r="99" spans="7:7" s="39" customFormat="1" ht="21" customHeight="1" x14ac:dyDescent="0.2"/>
    <row r="100" spans="7:7" s="39" customFormat="1" ht="21" customHeight="1" x14ac:dyDescent="0.2">
      <c r="G100" s="39">
        <v>5</v>
      </c>
    </row>
    <row r="101" spans="7:7" s="39" customFormat="1" ht="21" customHeight="1" x14ac:dyDescent="0.2">
      <c r="G101" s="39">
        <v>5</v>
      </c>
    </row>
    <row r="102" spans="7:7" s="39" customFormat="1" ht="21" customHeight="1" x14ac:dyDescent="0.2">
      <c r="G102" s="39">
        <v>5</v>
      </c>
    </row>
    <row r="103" spans="7:7" s="39" customFormat="1" ht="21" customHeight="1" x14ac:dyDescent="0.2">
      <c r="G103" s="39">
        <v>5</v>
      </c>
    </row>
    <row r="104" spans="7:7" s="39" customFormat="1" ht="21" customHeight="1" x14ac:dyDescent="0.2">
      <c r="G104" s="39">
        <v>5</v>
      </c>
    </row>
    <row r="105" spans="7:7" s="39" customFormat="1" ht="21" customHeight="1" x14ac:dyDescent="0.2">
      <c r="G105" s="39">
        <v>5</v>
      </c>
    </row>
    <row r="106" spans="7:7" s="39" customFormat="1" ht="21" customHeight="1" x14ac:dyDescent="0.2">
      <c r="G106" s="39">
        <v>5</v>
      </c>
    </row>
    <row r="107" spans="7:7" s="39" customFormat="1" ht="21" customHeight="1" x14ac:dyDescent="0.2">
      <c r="G107" s="39">
        <v>5</v>
      </c>
    </row>
    <row r="108" spans="7:7" s="39" customFormat="1" ht="21" customHeight="1" x14ac:dyDescent="0.2">
      <c r="G108" s="39">
        <v>5</v>
      </c>
    </row>
    <row r="109" spans="7:7" s="39" customFormat="1" ht="21" customHeight="1" x14ac:dyDescent="0.2">
      <c r="G109" s="39">
        <v>5</v>
      </c>
    </row>
    <row r="110" spans="7:7" s="39" customFormat="1" ht="21" customHeight="1" x14ac:dyDescent="0.2">
      <c r="G110" s="39">
        <v>5</v>
      </c>
    </row>
    <row r="111" spans="7:7" s="39" customFormat="1" ht="21" customHeight="1" x14ac:dyDescent="0.2">
      <c r="G111" s="39">
        <v>5</v>
      </c>
    </row>
    <row r="112" spans="7:7" s="39" customFormat="1" ht="21" customHeight="1" x14ac:dyDescent="0.2">
      <c r="G112" s="39">
        <v>5</v>
      </c>
    </row>
    <row r="113" spans="7:7" s="39" customFormat="1" ht="21" customHeight="1" x14ac:dyDescent="0.2">
      <c r="G113" s="39">
        <v>5</v>
      </c>
    </row>
    <row r="114" spans="7:7" s="39" customFormat="1" ht="21" customHeight="1" x14ac:dyDescent="0.2">
      <c r="G114" s="39">
        <v>5</v>
      </c>
    </row>
    <row r="115" spans="7:7" s="39" customFormat="1" ht="21" customHeight="1" x14ac:dyDescent="0.2">
      <c r="G115" s="39">
        <v>5</v>
      </c>
    </row>
    <row r="116" spans="7:7" s="39" customFormat="1" ht="21" customHeight="1" x14ac:dyDescent="0.2">
      <c r="G116" s="39">
        <v>5</v>
      </c>
    </row>
    <row r="117" spans="7:7" s="39" customFormat="1" ht="21" customHeight="1" x14ac:dyDescent="0.2">
      <c r="G117" s="39">
        <v>5</v>
      </c>
    </row>
    <row r="118" spans="7:7" s="39" customFormat="1" ht="21" customHeight="1" x14ac:dyDescent="0.2">
      <c r="G118" s="39">
        <v>5</v>
      </c>
    </row>
    <row r="119" spans="7:7" s="39" customFormat="1" ht="21" customHeight="1" x14ac:dyDescent="0.2">
      <c r="G119" s="39">
        <v>5</v>
      </c>
    </row>
    <row r="120" spans="7:7" s="39" customFormat="1" ht="21" customHeight="1" x14ac:dyDescent="0.2">
      <c r="G120" s="39">
        <v>5</v>
      </c>
    </row>
    <row r="121" spans="7:7" s="39" customFormat="1" ht="21" customHeight="1" x14ac:dyDescent="0.2">
      <c r="G121" s="39">
        <v>5</v>
      </c>
    </row>
    <row r="122" spans="7:7" s="39" customFormat="1" ht="21" customHeight="1" x14ac:dyDescent="0.2">
      <c r="G122" s="39">
        <v>5</v>
      </c>
    </row>
    <row r="123" spans="7:7" s="39" customFormat="1" ht="21" customHeight="1" x14ac:dyDescent="0.2">
      <c r="G123" s="39">
        <v>5</v>
      </c>
    </row>
    <row r="124" spans="7:7" s="39" customFormat="1" ht="21" customHeight="1" x14ac:dyDescent="0.2">
      <c r="G124" s="39">
        <v>5</v>
      </c>
    </row>
    <row r="125" spans="7:7" s="39" customFormat="1" ht="21" customHeight="1" x14ac:dyDescent="0.2">
      <c r="G125" s="39">
        <v>5</v>
      </c>
    </row>
    <row r="126" spans="7:7" s="39" customFormat="1" ht="21" customHeight="1" x14ac:dyDescent="0.2">
      <c r="G126" s="39">
        <v>5</v>
      </c>
    </row>
    <row r="127" spans="7:7" s="39" customFormat="1" ht="21" customHeight="1" x14ac:dyDescent="0.2">
      <c r="G127" s="39">
        <v>5</v>
      </c>
    </row>
    <row r="128" spans="7:7" s="39" customFormat="1" ht="21" customHeight="1" x14ac:dyDescent="0.2">
      <c r="G128" s="39">
        <v>5</v>
      </c>
    </row>
    <row r="129" spans="2:7" s="39" customFormat="1" ht="21" customHeight="1" x14ac:dyDescent="0.2">
      <c r="G129" s="39">
        <v>5</v>
      </c>
    </row>
    <row r="130" spans="2:7" s="39" customFormat="1" ht="11" hidden="1" x14ac:dyDescent="0.2"/>
    <row r="131" spans="2:7" s="39" customFormat="1" ht="11" hidden="1" x14ac:dyDescent="0.2"/>
    <row r="132" spans="2:7" s="39" customFormat="1" ht="12" hidden="1" x14ac:dyDescent="0.2">
      <c r="B132" s="39" t="s">
        <v>165</v>
      </c>
      <c r="D132" s="39" t="e">
        <f>#REF!</f>
        <v>#REF!</v>
      </c>
      <c r="E132" s="39" t="e">
        <f t="shared" ref="E132:G132" si="0">#REF!</f>
        <v>#REF!</v>
      </c>
      <c r="F132" s="39" t="e">
        <f t="shared" si="0"/>
        <v>#REF!</v>
      </c>
      <c r="G132" s="39" t="e">
        <f t="shared" si="0"/>
        <v>#REF!</v>
      </c>
    </row>
    <row r="133" spans="2:7" s="39" customFormat="1" ht="12" hidden="1" x14ac:dyDescent="0.2">
      <c r="B133" s="39" t="str">
        <f>A5</f>
        <v>Business Critical Assets</v>
      </c>
      <c r="D133" s="39">
        <f>SUM(D6:D14)</f>
        <v>0</v>
      </c>
      <c r="E133" s="39">
        <f t="shared" ref="E133:G133" si="1">SUM(E6:E14)</f>
        <v>0</v>
      </c>
      <c r="F133" s="39">
        <f t="shared" si="1"/>
        <v>0</v>
      </c>
      <c r="G133" s="39">
        <f t="shared" si="1"/>
        <v>45</v>
      </c>
    </row>
    <row r="134" spans="2:7" s="39" customFormat="1" ht="11" hidden="1" x14ac:dyDescent="0.2">
      <c r="B134" s="39">
        <f>A15</f>
        <v>0</v>
      </c>
      <c r="D134" s="39">
        <f>SUM(D16:D31)</f>
        <v>0</v>
      </c>
      <c r="E134" s="39">
        <f t="shared" ref="E134:G134" si="2">SUM(E16:E31)</f>
        <v>0</v>
      </c>
      <c r="F134" s="39">
        <f t="shared" si="2"/>
        <v>0</v>
      </c>
      <c r="G134" s="39">
        <f t="shared" si="2"/>
        <v>75</v>
      </c>
    </row>
    <row r="135" spans="2:7" s="39" customFormat="1" ht="11" hidden="1" x14ac:dyDescent="0.2">
      <c r="B135" s="39">
        <f>A32</f>
        <v>0</v>
      </c>
      <c r="D135" s="39">
        <f>SUM(D33:D40)</f>
        <v>0</v>
      </c>
      <c r="E135" s="39">
        <f t="shared" ref="E135:G135" si="3">SUM(E33:E40)</f>
        <v>0</v>
      </c>
      <c r="F135" s="39">
        <f>SUM(F33:F40)</f>
        <v>0</v>
      </c>
      <c r="G135" s="39">
        <f t="shared" si="3"/>
        <v>40</v>
      </c>
    </row>
    <row r="136" spans="2:7" s="39" customFormat="1" ht="11" hidden="1" x14ac:dyDescent="0.2">
      <c r="B136" s="39">
        <f>A41</f>
        <v>0</v>
      </c>
      <c r="D136" s="39">
        <f>SUM(D42:D54)</f>
        <v>0</v>
      </c>
      <c r="E136" s="39">
        <f t="shared" ref="E136:G136" si="4">SUM(E42:E54)</f>
        <v>0</v>
      </c>
      <c r="F136" s="39">
        <f t="shared" si="4"/>
        <v>0</v>
      </c>
      <c r="G136" s="39">
        <f t="shared" si="4"/>
        <v>65</v>
      </c>
    </row>
    <row r="137" spans="2:7" s="39" customFormat="1" ht="11" hidden="1" x14ac:dyDescent="0.2">
      <c r="B137" s="39">
        <f>A55</f>
        <v>0</v>
      </c>
      <c r="D137" s="39">
        <f>SUM(D56:D59)</f>
        <v>0</v>
      </c>
      <c r="E137" s="39">
        <f t="shared" ref="E137:G137" si="5">SUM(E56:E59)</f>
        <v>0</v>
      </c>
      <c r="F137" s="39">
        <f t="shared" si="5"/>
        <v>0</v>
      </c>
      <c r="G137" s="39">
        <f t="shared" si="5"/>
        <v>20</v>
      </c>
    </row>
    <row r="138" spans="2:7" s="39" customFormat="1" ht="11" hidden="1" x14ac:dyDescent="0.2">
      <c r="B138" s="39">
        <f>A60</f>
        <v>0</v>
      </c>
      <c r="D138" s="39">
        <f>SUM(D61:D98)</f>
        <v>0</v>
      </c>
      <c r="E138" s="39">
        <f t="shared" ref="E138:G138" si="6">SUM(E61:E98)</f>
        <v>0</v>
      </c>
      <c r="F138" s="39">
        <f t="shared" si="6"/>
        <v>0</v>
      </c>
      <c r="G138" s="39">
        <f t="shared" si="6"/>
        <v>190</v>
      </c>
    </row>
    <row r="139" spans="2:7" s="39" customFormat="1" ht="11" hidden="1" x14ac:dyDescent="0.2">
      <c r="B139" s="39">
        <f>A99</f>
        <v>0</v>
      </c>
      <c r="D139" s="39">
        <f>SUM(D100:D129)</f>
        <v>0</v>
      </c>
      <c r="E139" s="39">
        <f t="shared" ref="E139:G139" si="7">SUM(E100:E129)</f>
        <v>0</v>
      </c>
      <c r="F139" s="39">
        <f t="shared" si="7"/>
        <v>0</v>
      </c>
      <c r="G139" s="39">
        <f t="shared" si="7"/>
        <v>150</v>
      </c>
    </row>
    <row r="140" spans="2:7" s="39" customFormat="1" ht="12" hidden="1" x14ac:dyDescent="0.2">
      <c r="B140" s="39" t="s">
        <v>166</v>
      </c>
      <c r="D140" s="39">
        <f>SUM(D133:D139)</f>
        <v>0</v>
      </c>
      <c r="E140" s="39">
        <f>SUM(E133:E139)</f>
        <v>0</v>
      </c>
      <c r="F140" s="39">
        <f>SUM(F133:F139)</f>
        <v>0</v>
      </c>
      <c r="G140" s="39">
        <f>SUM(G133:G139)</f>
        <v>585</v>
      </c>
    </row>
    <row r="141" spans="2:7" s="39" customFormat="1" ht="11" hidden="1" x14ac:dyDescent="0.2"/>
    <row r="142" spans="2:7" s="39" customFormat="1" ht="11" hidden="1" x14ac:dyDescent="0.2"/>
    <row r="143" spans="2:7" s="39" customFormat="1" ht="12" hidden="1" x14ac:dyDescent="0.2">
      <c r="B143" s="39" t="s">
        <v>167</v>
      </c>
      <c r="D143" s="39" t="e">
        <f>D132</f>
        <v>#REF!</v>
      </c>
      <c r="E143" s="39" t="e">
        <f t="shared" ref="E143:G143" si="8">E132</f>
        <v>#REF!</v>
      </c>
      <c r="F143" s="39" t="e">
        <f t="shared" si="8"/>
        <v>#REF!</v>
      </c>
      <c r="G143" s="39" t="e">
        <f t="shared" si="8"/>
        <v>#REF!</v>
      </c>
    </row>
    <row r="144" spans="2:7" s="39" customFormat="1" ht="12" hidden="1" x14ac:dyDescent="0.2">
      <c r="B144" s="39" t="str">
        <f>B133</f>
        <v>Business Critical Assets</v>
      </c>
      <c r="D144" s="39">
        <f>D133/$G133</f>
        <v>0</v>
      </c>
      <c r="E144" s="39">
        <f t="shared" ref="E144:G144" si="9">E133/$G133</f>
        <v>0</v>
      </c>
      <c r="F144" s="39">
        <f t="shared" si="9"/>
        <v>0</v>
      </c>
      <c r="G144" s="39">
        <f t="shared" si="9"/>
        <v>1</v>
      </c>
    </row>
    <row r="145" spans="2:7" s="39" customFormat="1" ht="11" hidden="1" x14ac:dyDescent="0.2">
      <c r="B145" s="39">
        <f t="shared" ref="B145:B151" si="10">B134</f>
        <v>0</v>
      </c>
      <c r="D145" s="39">
        <f t="shared" ref="D145:G151" si="11">D134/$G134</f>
        <v>0</v>
      </c>
      <c r="E145" s="39">
        <f t="shared" si="11"/>
        <v>0</v>
      </c>
      <c r="F145" s="39">
        <f t="shared" si="11"/>
        <v>0</v>
      </c>
      <c r="G145" s="39">
        <f t="shared" si="11"/>
        <v>1</v>
      </c>
    </row>
    <row r="146" spans="2:7" s="39" customFormat="1" ht="11" hidden="1" x14ac:dyDescent="0.2">
      <c r="B146" s="39">
        <f t="shared" si="10"/>
        <v>0</v>
      </c>
      <c r="D146" s="39">
        <f t="shared" si="11"/>
        <v>0</v>
      </c>
      <c r="E146" s="39">
        <f t="shared" si="11"/>
        <v>0</v>
      </c>
      <c r="F146" s="39">
        <f t="shared" si="11"/>
        <v>0</v>
      </c>
      <c r="G146" s="39">
        <f t="shared" si="11"/>
        <v>1</v>
      </c>
    </row>
    <row r="147" spans="2:7" s="39" customFormat="1" ht="11" hidden="1" x14ac:dyDescent="0.2">
      <c r="B147" s="39">
        <f t="shared" si="10"/>
        <v>0</v>
      </c>
      <c r="D147" s="39">
        <f t="shared" si="11"/>
        <v>0</v>
      </c>
      <c r="E147" s="39">
        <f t="shared" si="11"/>
        <v>0</v>
      </c>
      <c r="F147" s="39">
        <f t="shared" si="11"/>
        <v>0</v>
      </c>
      <c r="G147" s="39">
        <f t="shared" si="11"/>
        <v>1</v>
      </c>
    </row>
    <row r="148" spans="2:7" s="39" customFormat="1" ht="11" hidden="1" x14ac:dyDescent="0.2">
      <c r="B148" s="39">
        <f t="shared" si="10"/>
        <v>0</v>
      </c>
      <c r="D148" s="39">
        <f t="shared" si="11"/>
        <v>0</v>
      </c>
      <c r="E148" s="39">
        <f t="shared" si="11"/>
        <v>0</v>
      </c>
      <c r="F148" s="39">
        <f t="shared" si="11"/>
        <v>0</v>
      </c>
      <c r="G148" s="39">
        <f t="shared" si="11"/>
        <v>1</v>
      </c>
    </row>
    <row r="149" spans="2:7" s="39" customFormat="1" ht="11" hidden="1" x14ac:dyDescent="0.2">
      <c r="B149" s="39">
        <f t="shared" si="10"/>
        <v>0</v>
      </c>
      <c r="D149" s="39">
        <f t="shared" si="11"/>
        <v>0</v>
      </c>
      <c r="E149" s="39">
        <f t="shared" si="11"/>
        <v>0</v>
      </c>
      <c r="F149" s="39">
        <f t="shared" si="11"/>
        <v>0</v>
      </c>
      <c r="G149" s="39">
        <f t="shared" si="11"/>
        <v>1</v>
      </c>
    </row>
    <row r="150" spans="2:7" s="39" customFormat="1" ht="11" hidden="1" x14ac:dyDescent="0.2">
      <c r="B150" s="39">
        <f t="shared" si="10"/>
        <v>0</v>
      </c>
      <c r="D150" s="39">
        <f t="shared" si="11"/>
        <v>0</v>
      </c>
      <c r="E150" s="39">
        <f t="shared" si="11"/>
        <v>0</v>
      </c>
      <c r="F150" s="39">
        <f t="shared" si="11"/>
        <v>0</v>
      </c>
      <c r="G150" s="39">
        <f t="shared" si="11"/>
        <v>1</v>
      </c>
    </row>
    <row r="151" spans="2:7" s="39" customFormat="1" ht="12" hidden="1" x14ac:dyDescent="0.2">
      <c r="B151" s="39" t="str">
        <f t="shared" si="10"/>
        <v>TOTAL</v>
      </c>
      <c r="D151" s="39">
        <f t="shared" si="11"/>
        <v>0</v>
      </c>
      <c r="E151" s="39">
        <f t="shared" si="11"/>
        <v>0</v>
      </c>
      <c r="F151" s="39">
        <f t="shared" si="11"/>
        <v>0</v>
      </c>
      <c r="G151" s="39">
        <f t="shared" si="11"/>
        <v>1</v>
      </c>
    </row>
    <row r="152" spans="2:7" s="39" customFormat="1" ht="11" hidden="1" x14ac:dyDescent="0.2"/>
    <row r="153" spans="2:7" s="39" customFormat="1" ht="11" x14ac:dyDescent="0.2"/>
    <row r="154" spans="2:7" s="39" customFormat="1" ht="11" x14ac:dyDescent="0.2"/>
    <row r="155" spans="2:7" s="39" customFormat="1" ht="11" x14ac:dyDescent="0.2"/>
    <row r="156" spans="2:7" s="39" customFormat="1" ht="11" x14ac:dyDescent="0.2"/>
    <row r="157" spans="2:7" s="39" customFormat="1" ht="11" x14ac:dyDescent="0.2"/>
    <row r="158" spans="2:7" s="39" customFormat="1" ht="11" x14ac:dyDescent="0.2"/>
    <row r="159" spans="2:7" s="39" customFormat="1" ht="11" x14ac:dyDescent="0.2"/>
    <row r="160" spans="2:7" s="39" customFormat="1" ht="11" x14ac:dyDescent="0.2"/>
    <row r="161" s="39" customFormat="1" ht="11" x14ac:dyDescent="0.2"/>
    <row r="162" s="39" customFormat="1" ht="11" x14ac:dyDescent="0.2"/>
    <row r="163" s="39" customFormat="1" ht="11" x14ac:dyDescent="0.2"/>
    <row r="164" s="39" customFormat="1" ht="11" x14ac:dyDescent="0.2"/>
    <row r="165" s="39" customFormat="1" ht="11" x14ac:dyDescent="0.2"/>
    <row r="166" s="39" customFormat="1" ht="11" x14ac:dyDescent="0.2"/>
    <row r="167" s="39" customFormat="1" ht="11" x14ac:dyDescent="0.2"/>
    <row r="168" s="39" customFormat="1" ht="11" x14ac:dyDescent="0.2"/>
    <row r="169" s="39" customFormat="1" ht="11" x14ac:dyDescent="0.2"/>
    <row r="170" s="39" customFormat="1" ht="11" x14ac:dyDescent="0.2"/>
    <row r="171" s="39" customFormat="1" ht="11" x14ac:dyDescent="0.2"/>
    <row r="172" s="39" customFormat="1" ht="11" x14ac:dyDescent="0.2"/>
    <row r="173" s="39" customFormat="1" ht="11" x14ac:dyDescent="0.2"/>
    <row r="174" s="39" customFormat="1" ht="11" x14ac:dyDescent="0.2"/>
    <row r="175" s="39" customFormat="1" ht="11" x14ac:dyDescent="0.2"/>
    <row r="176" s="39" customFormat="1" ht="11" x14ac:dyDescent="0.2"/>
    <row r="177" s="39" customFormat="1" ht="11" x14ac:dyDescent="0.2"/>
    <row r="178" s="39" customFormat="1" ht="11" x14ac:dyDescent="0.2"/>
    <row r="179" s="39" customFormat="1" ht="11" x14ac:dyDescent="0.2"/>
    <row r="180" s="39" customFormat="1" ht="11" x14ac:dyDescent="0.2"/>
    <row r="181" s="39" customFormat="1" ht="11" x14ac:dyDescent="0.2"/>
    <row r="182" s="39" customFormat="1" ht="11" x14ac:dyDescent="0.2"/>
    <row r="183" s="39" customFormat="1" ht="11" x14ac:dyDescent="0.2"/>
    <row r="184" s="39" customFormat="1" ht="11" x14ac:dyDescent="0.2"/>
    <row r="185" s="39" customFormat="1" ht="11" x14ac:dyDescent="0.2"/>
    <row r="186" s="39" customFormat="1" ht="11" x14ac:dyDescent="0.2"/>
    <row r="187" s="39" customFormat="1" ht="11" x14ac:dyDescent="0.2"/>
    <row r="188" s="39" customFormat="1" ht="11" x14ac:dyDescent="0.2"/>
    <row r="189" s="39" customFormat="1" ht="11" x14ac:dyDescent="0.2"/>
    <row r="190" s="39" customFormat="1" ht="11" x14ac:dyDescent="0.2"/>
    <row r="191" s="39" customFormat="1" ht="11" x14ac:dyDescent="0.2"/>
    <row r="192" s="39" customFormat="1" ht="11" x14ac:dyDescent="0.2"/>
    <row r="193" s="39" customFormat="1" ht="11" x14ac:dyDescent="0.2"/>
    <row r="194" s="39" customFormat="1" ht="11" x14ac:dyDescent="0.2"/>
    <row r="195" s="39" customFormat="1" ht="11" x14ac:dyDescent="0.2"/>
    <row r="196" s="39" customFormat="1" ht="11" x14ac:dyDescent="0.2"/>
    <row r="197" s="39" customFormat="1" ht="11" x14ac:dyDescent="0.2"/>
    <row r="198" s="39" customFormat="1" ht="11" x14ac:dyDescent="0.2"/>
    <row r="199" s="39" customFormat="1" ht="11" x14ac:dyDescent="0.2"/>
    <row r="200" s="39" customFormat="1" ht="11" x14ac:dyDescent="0.2"/>
    <row r="201" s="39" customFormat="1" ht="11" x14ac:dyDescent="0.2"/>
    <row r="202" s="39" customFormat="1" ht="11" x14ac:dyDescent="0.2"/>
    <row r="203" s="39" customFormat="1" ht="11" x14ac:dyDescent="0.2"/>
    <row r="204" s="39" customFormat="1" ht="11" x14ac:dyDescent="0.2"/>
    <row r="205" s="39" customFormat="1" ht="11" x14ac:dyDescent="0.2"/>
    <row r="206" s="39" customFormat="1" ht="11" x14ac:dyDescent="0.2"/>
    <row r="207" s="39" customFormat="1" ht="11" x14ac:dyDescent="0.2"/>
    <row r="208" s="39" customFormat="1" ht="11" x14ac:dyDescent="0.2"/>
    <row r="209" s="39" customFormat="1" ht="11" x14ac:dyDescent="0.2"/>
    <row r="210" s="39" customFormat="1" ht="11" x14ac:dyDescent="0.2"/>
    <row r="211" s="39" customFormat="1" ht="11" x14ac:dyDescent="0.2"/>
    <row r="212" s="39" customFormat="1" ht="11" x14ac:dyDescent="0.2"/>
    <row r="213" s="39" customFormat="1" ht="11" x14ac:dyDescent="0.2"/>
    <row r="214" s="39" customFormat="1" ht="11" x14ac:dyDescent="0.2"/>
    <row r="215" s="39" customFormat="1" ht="11" x14ac:dyDescent="0.2"/>
    <row r="216" s="39" customFormat="1" ht="11" x14ac:dyDescent="0.2"/>
    <row r="217" s="39" customFormat="1" ht="11" x14ac:dyDescent="0.2"/>
    <row r="218" s="39" customFormat="1" ht="11" x14ac:dyDescent="0.2"/>
    <row r="219" s="39" customFormat="1" ht="11" x14ac:dyDescent="0.2"/>
    <row r="220" s="39" customFormat="1" ht="11" x14ac:dyDescent="0.2"/>
    <row r="221" s="39" customFormat="1" ht="11" x14ac:dyDescent="0.2"/>
    <row r="222" s="39" customFormat="1" ht="11" x14ac:dyDescent="0.2"/>
    <row r="223" s="39" customFormat="1" ht="11" x14ac:dyDescent="0.2"/>
    <row r="224" s="39" customFormat="1" ht="11" x14ac:dyDescent="0.2"/>
    <row r="225" s="39" customFormat="1" ht="11" x14ac:dyDescent="0.2"/>
    <row r="226" s="39" customFormat="1" ht="11" x14ac:dyDescent="0.2"/>
    <row r="227" s="39" customFormat="1" ht="11" x14ac:dyDescent="0.2"/>
    <row r="228" s="39" customFormat="1" ht="11" x14ac:dyDescent="0.2"/>
    <row r="229" s="39" customFormat="1" ht="11" x14ac:dyDescent="0.2"/>
    <row r="230" s="39" customFormat="1" ht="11" x14ac:dyDescent="0.2"/>
    <row r="231" s="39" customFormat="1" ht="11" x14ac:dyDescent="0.2"/>
    <row r="232" s="39" customFormat="1" ht="11" x14ac:dyDescent="0.2"/>
    <row r="233" s="39" customFormat="1" ht="11" x14ac:dyDescent="0.2"/>
    <row r="234" s="39" customFormat="1" ht="11" x14ac:dyDescent="0.2"/>
    <row r="235" s="39" customFormat="1" ht="11" x14ac:dyDescent="0.2"/>
    <row r="236" s="39" customFormat="1" ht="11" x14ac:dyDescent="0.2"/>
    <row r="237" s="39" customFormat="1" ht="11" x14ac:dyDescent="0.2"/>
    <row r="238" s="39" customFormat="1" ht="11" x14ac:dyDescent="0.2"/>
    <row r="239" s="39" customFormat="1" ht="11" x14ac:dyDescent="0.2"/>
    <row r="240" s="39" customFormat="1" ht="11" x14ac:dyDescent="0.2"/>
    <row r="241" s="39" customFormat="1" ht="11" x14ac:dyDescent="0.2"/>
    <row r="242" s="39" customFormat="1" ht="11" x14ac:dyDescent="0.2"/>
    <row r="243" s="39" customFormat="1" ht="11" x14ac:dyDescent="0.2"/>
    <row r="244" s="39" customFormat="1" ht="11" x14ac:dyDescent="0.2"/>
    <row r="245" s="39" customFormat="1" ht="11" x14ac:dyDescent="0.2"/>
    <row r="246" s="39" customFormat="1" ht="11" x14ac:dyDescent="0.2"/>
    <row r="247" s="39" customFormat="1" ht="11" x14ac:dyDescent="0.2"/>
    <row r="248" s="39" customFormat="1" ht="11" x14ac:dyDescent="0.2"/>
    <row r="249" s="39" customFormat="1" ht="11" x14ac:dyDescent="0.2"/>
    <row r="250" s="39" customFormat="1" ht="11" x14ac:dyDescent="0.2"/>
    <row r="251" s="39" customFormat="1" ht="11" x14ac:dyDescent="0.2"/>
    <row r="252" s="39" customFormat="1" ht="11" x14ac:dyDescent="0.2"/>
    <row r="253" s="39" customFormat="1" ht="11" x14ac:dyDescent="0.2"/>
    <row r="254" s="39" customFormat="1" ht="11" x14ac:dyDescent="0.2"/>
    <row r="255" s="39" customFormat="1" ht="11" x14ac:dyDescent="0.2"/>
    <row r="256" s="39" customFormat="1" ht="11" x14ac:dyDescent="0.2"/>
    <row r="257" s="39" customFormat="1" ht="11" x14ac:dyDescent="0.2"/>
    <row r="258" s="39" customFormat="1" ht="11" x14ac:dyDescent="0.2"/>
    <row r="259" s="39" customFormat="1" ht="11" x14ac:dyDescent="0.2"/>
    <row r="260" s="39" customFormat="1" ht="11" x14ac:dyDescent="0.2"/>
    <row r="261" s="39" customFormat="1" ht="11" x14ac:dyDescent="0.2"/>
    <row r="262" s="39" customFormat="1" ht="11" x14ac:dyDescent="0.2"/>
    <row r="263" s="39" customFormat="1" ht="11" x14ac:dyDescent="0.2"/>
    <row r="264" s="39" customFormat="1" ht="11" x14ac:dyDescent="0.2"/>
    <row r="265" s="39" customFormat="1" ht="11" x14ac:dyDescent="0.2"/>
    <row r="266" s="39" customFormat="1" ht="11" x14ac:dyDescent="0.2"/>
    <row r="267" s="39" customFormat="1" ht="11" x14ac:dyDescent="0.2"/>
    <row r="268" s="39" customFormat="1" ht="11" x14ac:dyDescent="0.2"/>
    <row r="269" s="39" customFormat="1" ht="11" x14ac:dyDescent="0.2"/>
    <row r="270" s="39" customFormat="1" ht="11" x14ac:dyDescent="0.2"/>
    <row r="271" s="39" customFormat="1" ht="11" x14ac:dyDescent="0.2"/>
    <row r="272" s="39" customFormat="1" ht="11" x14ac:dyDescent="0.2"/>
    <row r="273" s="39" customFormat="1" ht="11" x14ac:dyDescent="0.2"/>
    <row r="274" s="39" customFormat="1" ht="11" x14ac:dyDescent="0.2"/>
    <row r="275" s="39" customFormat="1" ht="11" x14ac:dyDescent="0.2"/>
    <row r="276" s="39" customFormat="1" ht="11" x14ac:dyDescent="0.2"/>
    <row r="277" s="39" customFormat="1" ht="11" x14ac:dyDescent="0.2"/>
    <row r="278" s="39" customFormat="1" ht="11" x14ac:dyDescent="0.2"/>
    <row r="279" s="39" customFormat="1" ht="11" x14ac:dyDescent="0.2"/>
    <row r="280" s="39" customFormat="1" ht="11" x14ac:dyDescent="0.2"/>
    <row r="281" s="39" customFormat="1" ht="11" x14ac:dyDescent="0.2"/>
    <row r="282" s="39" customFormat="1" ht="11" x14ac:dyDescent="0.2"/>
    <row r="283" s="39" customFormat="1" ht="11" x14ac:dyDescent="0.2"/>
    <row r="284" s="39" customFormat="1" ht="11" x14ac:dyDescent="0.2"/>
    <row r="285" s="39" customFormat="1" ht="11" x14ac:dyDescent="0.2"/>
    <row r="286" s="39" customFormat="1" ht="11" x14ac:dyDescent="0.2"/>
    <row r="287" s="39" customFormat="1" ht="11" x14ac:dyDescent="0.2"/>
    <row r="288" s="39" customFormat="1" ht="11" x14ac:dyDescent="0.2"/>
    <row r="289" s="39" customFormat="1" ht="11" x14ac:dyDescent="0.2"/>
    <row r="290" s="39" customFormat="1" ht="11" x14ac:dyDescent="0.2"/>
    <row r="291" s="39" customFormat="1" ht="11" x14ac:dyDescent="0.2"/>
    <row r="292" s="39" customFormat="1" ht="11" x14ac:dyDescent="0.2"/>
    <row r="293" s="39" customFormat="1" ht="11" x14ac:dyDescent="0.2"/>
    <row r="294" s="39" customFormat="1" ht="11" x14ac:dyDescent="0.2"/>
    <row r="295" s="39" customFormat="1" ht="11" x14ac:dyDescent="0.2"/>
    <row r="296" s="39" customFormat="1" ht="11" x14ac:dyDescent="0.2"/>
    <row r="297" s="39" customFormat="1" ht="11" x14ac:dyDescent="0.2"/>
    <row r="298" s="39" customFormat="1" ht="11" x14ac:dyDescent="0.2"/>
    <row r="299" s="39" customFormat="1" ht="11" x14ac:dyDescent="0.2"/>
    <row r="300" s="39" customFormat="1" ht="11" x14ac:dyDescent="0.2"/>
    <row r="301" s="39" customFormat="1" ht="11" x14ac:dyDescent="0.2"/>
    <row r="302" s="39" customFormat="1" ht="11" x14ac:dyDescent="0.2"/>
    <row r="303" s="39" customFormat="1" ht="11" x14ac:dyDescent="0.2"/>
    <row r="304" s="39" customFormat="1" ht="11" x14ac:dyDescent="0.2"/>
    <row r="305" s="39" customFormat="1" ht="11" x14ac:dyDescent="0.2"/>
    <row r="306" s="39" customFormat="1" ht="11" x14ac:dyDescent="0.2"/>
    <row r="307" s="39" customFormat="1" ht="11" x14ac:dyDescent="0.2"/>
    <row r="308" s="39" customFormat="1" ht="11" x14ac:dyDescent="0.2"/>
    <row r="309" s="39" customFormat="1" ht="11" x14ac:dyDescent="0.2"/>
    <row r="310" s="39" customFormat="1" ht="11" x14ac:dyDescent="0.2"/>
    <row r="311" s="39" customFormat="1" ht="11" x14ac:dyDescent="0.2"/>
    <row r="312" s="39" customFormat="1" ht="11" x14ac:dyDescent="0.2"/>
    <row r="313" s="39" customFormat="1" ht="11" x14ac:dyDescent="0.2"/>
    <row r="314" s="39" customFormat="1" ht="11" x14ac:dyDescent="0.2"/>
    <row r="315" s="39" customFormat="1" ht="11" x14ac:dyDescent="0.2"/>
    <row r="316" s="39" customFormat="1" ht="11" x14ac:dyDescent="0.2"/>
    <row r="317" s="39" customFormat="1" ht="11" x14ac:dyDescent="0.2"/>
    <row r="318" s="39" customFormat="1" ht="11" x14ac:dyDescent="0.2"/>
    <row r="319" s="39" customFormat="1" ht="11" x14ac:dyDescent="0.2"/>
    <row r="320" s="39" customFormat="1" ht="11" x14ac:dyDescent="0.2"/>
    <row r="321" s="39" customFormat="1" ht="11" x14ac:dyDescent="0.2"/>
    <row r="322" s="39" customFormat="1" ht="11" x14ac:dyDescent="0.2"/>
    <row r="323" s="39" customFormat="1" ht="11" x14ac:dyDescent="0.2"/>
    <row r="324" s="39" customFormat="1" ht="11" x14ac:dyDescent="0.2"/>
    <row r="325" s="39" customFormat="1" ht="11" x14ac:dyDescent="0.2"/>
    <row r="326" s="39" customFormat="1" ht="11" x14ac:dyDescent="0.2"/>
    <row r="327" s="39" customFormat="1" ht="11" x14ac:dyDescent="0.2"/>
    <row r="328" s="39" customFormat="1" ht="11" x14ac:dyDescent="0.2"/>
    <row r="329" s="39" customFormat="1" ht="11" x14ac:dyDescent="0.2"/>
    <row r="330" s="39" customFormat="1" ht="11" x14ac:dyDescent="0.2"/>
    <row r="331" s="39" customFormat="1" ht="11" x14ac:dyDescent="0.2"/>
    <row r="332" s="39" customFormat="1" ht="11" x14ac:dyDescent="0.2"/>
    <row r="333" s="39" customFormat="1" ht="11" x14ac:dyDescent="0.2"/>
    <row r="334" s="39" customFormat="1" ht="11" x14ac:dyDescent="0.2"/>
    <row r="335" s="39" customFormat="1" ht="11" x14ac:dyDescent="0.2"/>
    <row r="336" s="39" customFormat="1" ht="11" x14ac:dyDescent="0.2"/>
    <row r="337" s="39" customFormat="1" ht="11" x14ac:dyDescent="0.2"/>
    <row r="338" s="39" customFormat="1" ht="11" x14ac:dyDescent="0.2"/>
    <row r="339" s="39" customFormat="1" ht="11" x14ac:dyDescent="0.2"/>
    <row r="340" s="39" customFormat="1" ht="11" x14ac:dyDescent="0.2"/>
    <row r="341" s="39" customFormat="1" ht="11" x14ac:dyDescent="0.2"/>
    <row r="342" s="39" customFormat="1" ht="11" x14ac:dyDescent="0.2"/>
    <row r="343" s="39" customFormat="1" ht="11" x14ac:dyDescent="0.2"/>
    <row r="344" s="39" customFormat="1" ht="11" x14ac:dyDescent="0.2"/>
    <row r="345" s="39" customFormat="1" ht="11" x14ac:dyDescent="0.2"/>
    <row r="346" s="39" customFormat="1" ht="11" x14ac:dyDescent="0.2"/>
    <row r="347" s="39" customFormat="1" ht="11" x14ac:dyDescent="0.2"/>
    <row r="348" s="39" customFormat="1" ht="11" x14ac:dyDescent="0.2"/>
    <row r="349" s="39" customFormat="1" ht="11" x14ac:dyDescent="0.2"/>
    <row r="350" s="39" customFormat="1" ht="11" x14ac:dyDescent="0.2"/>
    <row r="351" s="39" customFormat="1" ht="11" x14ac:dyDescent="0.2"/>
    <row r="352" s="39" customFormat="1" ht="11" x14ac:dyDescent="0.2"/>
    <row r="353" s="39" customFormat="1" ht="11" x14ac:dyDescent="0.2"/>
    <row r="354" s="39" customFormat="1" ht="11" x14ac:dyDescent="0.2"/>
    <row r="355" s="39" customFormat="1" ht="11" x14ac:dyDescent="0.2"/>
    <row r="356" s="39" customFormat="1" ht="11" x14ac:dyDescent="0.2"/>
    <row r="357" s="39" customFormat="1" ht="11" x14ac:dyDescent="0.2"/>
    <row r="358" s="39" customFormat="1" ht="11" x14ac:dyDescent="0.2"/>
    <row r="359" s="39" customFormat="1" ht="11" x14ac:dyDescent="0.2"/>
    <row r="360" s="39" customFormat="1" ht="11" x14ac:dyDescent="0.2"/>
    <row r="361" s="39" customFormat="1" ht="11" x14ac:dyDescent="0.2"/>
    <row r="362" s="39" customFormat="1" ht="11" x14ac:dyDescent="0.2"/>
    <row r="363" s="39" customFormat="1" ht="11" x14ac:dyDescent="0.2"/>
    <row r="364" s="39" customFormat="1" ht="11" x14ac:dyDescent="0.2"/>
    <row r="365" s="39" customFormat="1" ht="11" x14ac:dyDescent="0.2"/>
    <row r="366" s="39" customFormat="1" ht="11" x14ac:dyDescent="0.2"/>
    <row r="367" s="39" customFormat="1" ht="11" x14ac:dyDescent="0.2"/>
    <row r="368" s="39" customFormat="1" ht="11" x14ac:dyDescent="0.2"/>
    <row r="369" s="39" customFormat="1" ht="11" x14ac:dyDescent="0.2"/>
    <row r="370" s="39" customFormat="1" ht="11" x14ac:dyDescent="0.2"/>
    <row r="371" s="39" customFormat="1" ht="11" x14ac:dyDescent="0.2"/>
    <row r="372" s="39" customFormat="1" ht="11" x14ac:dyDescent="0.2"/>
    <row r="373" s="39" customFormat="1" ht="11" x14ac:dyDescent="0.2"/>
    <row r="374" s="39" customFormat="1" ht="11" x14ac:dyDescent="0.2"/>
    <row r="375" s="39" customFormat="1" ht="11" x14ac:dyDescent="0.2"/>
    <row r="376" s="39" customFormat="1" ht="11" x14ac:dyDescent="0.2"/>
    <row r="377" s="39" customFormat="1" ht="11" x14ac:dyDescent="0.2"/>
    <row r="378" s="39" customFormat="1" ht="11" x14ac:dyDescent="0.2"/>
    <row r="379" s="39" customFormat="1" ht="11" x14ac:dyDescent="0.2"/>
    <row r="380" s="39" customFormat="1" ht="11" x14ac:dyDescent="0.2"/>
    <row r="381" s="39" customFormat="1" ht="11" x14ac:dyDescent="0.2"/>
    <row r="382" s="39" customFormat="1" ht="11" x14ac:dyDescent="0.2"/>
    <row r="383" s="39" customFormat="1" ht="11" x14ac:dyDescent="0.2"/>
    <row r="384" s="39" customFormat="1" ht="11" x14ac:dyDescent="0.2"/>
    <row r="385" s="39" customFormat="1" ht="11" x14ac:dyDescent="0.2"/>
    <row r="386" s="39" customFormat="1" ht="11" x14ac:dyDescent="0.2"/>
    <row r="387" s="39" customFormat="1" ht="11" x14ac:dyDescent="0.2"/>
    <row r="388" s="39" customFormat="1" ht="11" x14ac:dyDescent="0.2"/>
    <row r="389" s="39" customFormat="1" ht="11" x14ac:dyDescent="0.2"/>
    <row r="390" s="39" customFormat="1" ht="11" x14ac:dyDescent="0.2"/>
    <row r="391" s="39" customFormat="1" ht="11" x14ac:dyDescent="0.2"/>
    <row r="392" s="39" customFormat="1" ht="11" x14ac:dyDescent="0.2"/>
    <row r="393" s="39" customFormat="1" ht="11" x14ac:dyDescent="0.2"/>
    <row r="394" s="39" customFormat="1" ht="11" x14ac:dyDescent="0.2"/>
    <row r="395" s="39" customFormat="1" ht="11" x14ac:dyDescent="0.2"/>
    <row r="396" s="39" customFormat="1" ht="11" x14ac:dyDescent="0.2"/>
    <row r="397" s="39" customFormat="1" ht="11" x14ac:dyDescent="0.2"/>
    <row r="398" s="39" customFormat="1" ht="11" x14ac:dyDescent="0.2"/>
    <row r="399" s="39" customFormat="1" ht="11" x14ac:dyDescent="0.2"/>
    <row r="400" s="39" customFormat="1" ht="11" x14ac:dyDescent="0.2"/>
    <row r="401" s="39" customFormat="1" ht="11" x14ac:dyDescent="0.2"/>
    <row r="402" s="39" customFormat="1" ht="11" x14ac:dyDescent="0.2"/>
    <row r="403" s="39" customFormat="1" ht="11" x14ac:dyDescent="0.2"/>
    <row r="404" s="39" customFormat="1" ht="11" x14ac:dyDescent="0.2"/>
    <row r="405" s="39" customFormat="1" ht="11" x14ac:dyDescent="0.2"/>
    <row r="406" s="39" customFormat="1" ht="11" x14ac:dyDescent="0.2"/>
    <row r="407" s="39" customFormat="1" ht="11" x14ac:dyDescent="0.2"/>
    <row r="408" s="39" customFormat="1" ht="11" x14ac:dyDescent="0.2"/>
    <row r="409" s="39" customFormat="1" ht="11" x14ac:dyDescent="0.2"/>
    <row r="410" s="39" customFormat="1" ht="11" x14ac:dyDescent="0.2"/>
    <row r="411" s="39" customFormat="1" ht="11" x14ac:dyDescent="0.2"/>
    <row r="412" s="39" customFormat="1" ht="11" x14ac:dyDescent="0.2"/>
    <row r="413" s="39" customFormat="1" ht="11" x14ac:dyDescent="0.2"/>
    <row r="414" s="39" customFormat="1" ht="11" x14ac:dyDescent="0.2"/>
    <row r="415" s="39" customFormat="1" ht="11" x14ac:dyDescent="0.2"/>
    <row r="416" s="39" customFormat="1" ht="11" x14ac:dyDescent="0.2"/>
    <row r="417" s="39" customFormat="1" ht="11" x14ac:dyDescent="0.2"/>
    <row r="418" s="39" customFormat="1" ht="11" x14ac:dyDescent="0.2"/>
    <row r="419" s="39" customFormat="1" ht="11" x14ac:dyDescent="0.2"/>
    <row r="420" s="39" customFormat="1" ht="11" x14ac:dyDescent="0.2"/>
    <row r="421" s="39" customFormat="1" ht="11" x14ac:dyDescent="0.2"/>
    <row r="422" s="39" customFormat="1" ht="11" x14ac:dyDescent="0.2"/>
    <row r="423" s="39" customFormat="1" ht="11" x14ac:dyDescent="0.2"/>
    <row r="424" s="39" customFormat="1" ht="11" x14ac:dyDescent="0.2"/>
    <row r="425" s="39" customFormat="1" ht="11" x14ac:dyDescent="0.2"/>
    <row r="426" s="39" customFormat="1" ht="11" x14ac:dyDescent="0.2"/>
    <row r="427" s="39" customFormat="1" ht="11" x14ac:dyDescent="0.2"/>
    <row r="428" s="39" customFormat="1" ht="11" x14ac:dyDescent="0.2"/>
    <row r="429" s="39" customFormat="1" ht="11" x14ac:dyDescent="0.2"/>
    <row r="430" s="39" customFormat="1" ht="11" x14ac:dyDescent="0.2"/>
    <row r="431" s="39" customFormat="1" ht="11" x14ac:dyDescent="0.2"/>
    <row r="432" s="39" customFormat="1" ht="11" x14ac:dyDescent="0.2"/>
    <row r="433" s="39" customFormat="1" ht="11" x14ac:dyDescent="0.2"/>
    <row r="434" s="39" customFormat="1" ht="11" x14ac:dyDescent="0.2"/>
    <row r="435" s="39" customFormat="1" ht="11" x14ac:dyDescent="0.2"/>
    <row r="436" s="39" customFormat="1" ht="11" x14ac:dyDescent="0.2"/>
    <row r="437" s="39" customFormat="1" ht="11" x14ac:dyDescent="0.2"/>
    <row r="438" s="39" customFormat="1" ht="11" x14ac:dyDescent="0.2"/>
    <row r="439" s="39" customFormat="1" ht="11" x14ac:dyDescent="0.2"/>
    <row r="440" s="39" customFormat="1" ht="11" x14ac:dyDescent="0.2"/>
    <row r="441" s="39" customFormat="1" ht="11" x14ac:dyDescent="0.2"/>
    <row r="442" s="39" customFormat="1" ht="11" x14ac:dyDescent="0.2"/>
    <row r="443" s="39" customFormat="1" ht="11" x14ac:dyDescent="0.2"/>
    <row r="444" s="39" customFormat="1" ht="11" x14ac:dyDescent="0.2"/>
    <row r="445" s="39" customFormat="1" ht="11" x14ac:dyDescent="0.2"/>
    <row r="446" s="39" customFormat="1" ht="11" x14ac:dyDescent="0.2"/>
    <row r="447" s="39" customFormat="1" ht="11" x14ac:dyDescent="0.2"/>
    <row r="448" s="39" customFormat="1" ht="11" x14ac:dyDescent="0.2"/>
    <row r="449" spans="1:8" s="39" customFormat="1" ht="11" x14ac:dyDescent="0.2"/>
    <row r="450" spans="1:8" s="39" customFormat="1" ht="11" x14ac:dyDescent="0.2"/>
    <row r="451" spans="1:8" s="39" customFormat="1" ht="11" x14ac:dyDescent="0.2"/>
    <row r="452" spans="1:8" x14ac:dyDescent="0.2">
      <c r="A452" s="39"/>
      <c r="B452" s="39"/>
      <c r="C452" s="39"/>
      <c r="D452" s="39"/>
      <c r="E452" s="39"/>
      <c r="F452" s="39"/>
      <c r="G452" s="39"/>
      <c r="H452" s="39"/>
    </row>
    <row r="453" spans="1:8" x14ac:dyDescent="0.2">
      <c r="A453" s="39"/>
      <c r="B453" s="39"/>
      <c r="C453" s="39"/>
      <c r="D453" s="39"/>
      <c r="E453" s="39"/>
      <c r="F453" s="39"/>
      <c r="G453" s="39"/>
      <c r="H453" s="39"/>
    </row>
    <row r="454" spans="1:8" x14ac:dyDescent="0.2">
      <c r="A454" s="39"/>
      <c r="B454" s="39"/>
      <c r="C454" s="39"/>
      <c r="D454" s="39"/>
      <c r="E454" s="39"/>
      <c r="F454" s="39"/>
      <c r="G454" s="39"/>
      <c r="H454" s="39"/>
    </row>
    <row r="455" spans="1:8" x14ac:dyDescent="0.2">
      <c r="A455" s="39"/>
      <c r="B455" s="39"/>
      <c r="C455" s="39"/>
      <c r="D455" s="39"/>
      <c r="E455" s="39"/>
      <c r="F455" s="39"/>
      <c r="G455" s="39"/>
      <c r="H455" s="39"/>
    </row>
    <row r="456" spans="1:8" x14ac:dyDescent="0.2">
      <c r="A456" s="39"/>
      <c r="B456" s="39"/>
      <c r="C456" s="39"/>
      <c r="D456" s="39"/>
      <c r="E456" s="39"/>
      <c r="F456" s="39"/>
      <c r="G456" s="39"/>
      <c r="H456" s="39"/>
    </row>
    <row r="457" spans="1:8" x14ac:dyDescent="0.2">
      <c r="A457" s="39"/>
      <c r="B457" s="39"/>
      <c r="C457" s="39"/>
      <c r="D457" s="39"/>
      <c r="E457" s="39"/>
      <c r="F457" s="39"/>
      <c r="G457" s="39"/>
      <c r="H457" s="39"/>
    </row>
    <row r="458" spans="1:8" x14ac:dyDescent="0.2">
      <c r="A458" s="39"/>
      <c r="B458" s="39"/>
      <c r="C458" s="39"/>
      <c r="D458" s="39"/>
      <c r="E458" s="39"/>
      <c r="F458" s="39"/>
      <c r="G458" s="39"/>
      <c r="H458" s="39"/>
    </row>
    <row r="459" spans="1:8" x14ac:dyDescent="0.2">
      <c r="A459" s="39"/>
      <c r="B459" s="39"/>
      <c r="C459" s="39"/>
      <c r="D459" s="39"/>
      <c r="E459" s="39"/>
      <c r="F459" s="39"/>
      <c r="G459" s="39"/>
      <c r="H459" s="39"/>
    </row>
    <row r="460" spans="1:8" x14ac:dyDescent="0.2">
      <c r="A460" s="39"/>
      <c r="B460" s="39"/>
      <c r="C460" s="39"/>
      <c r="D460" s="39"/>
      <c r="E460" s="39"/>
      <c r="F460" s="39"/>
      <c r="G460" s="39"/>
      <c r="H460" s="39"/>
    </row>
    <row r="461" spans="1:8" x14ac:dyDescent="0.2">
      <c r="A461" s="39"/>
      <c r="B461" s="39"/>
      <c r="C461" s="39"/>
      <c r="D461" s="39"/>
      <c r="E461" s="39"/>
      <c r="F461" s="39"/>
      <c r="G461" s="39"/>
      <c r="H461" s="39"/>
    </row>
  </sheetData>
  <sheetProtection formatCells="0" formatColumns="0" formatRows="0" insertColumns="0" insertRows="0" insertHyperlinks="0" deleteColumns="0" deleteRows="0" selectLockedCells="1" sort="0" autoFilter="0" pivotTables="0"/>
  <pageMargins left="0.7" right="0.7" top="0.75" bottom="0.75" header="0.3" footer="0.3"/>
  <pageSetup scale="68" fitToHeight="0" orientation="portrait" horizontalDpi="300" verticalDpi="300"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E00-000000000000}">
          <x14:formula1>
            <xm:f>'CoBIT maturity key'!$B$4:$B$9</xm:f>
          </x14:formula1>
          <xm:sqref>D6:F20 D22:F129</xm:sqref>
        </x14:dataValidation>
      </x14:dataValidations>
    </ext>
  </extLst>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FFFF00"/>
  </sheetPr>
  <dimension ref="A1:T102"/>
  <sheetViews>
    <sheetView tabSelected="1" workbookViewId="0">
      <selection activeCell="B25" sqref="B25"/>
    </sheetView>
  </sheetViews>
  <sheetFormatPr baseColWidth="10" defaultColWidth="9.1640625" defaultRowHeight="11" x14ac:dyDescent="0.15"/>
  <cols>
    <col min="1" max="1" width="10" style="128" customWidth="1"/>
    <col min="2" max="2" width="38.5" style="128" customWidth="1"/>
    <col min="3" max="3" width="14.1640625" style="128" customWidth="1"/>
    <col min="4" max="4" width="13.1640625" style="128" bestFit="1" customWidth="1"/>
    <col min="5" max="5" width="6.5" style="128" bestFit="1" customWidth="1"/>
    <col min="6" max="8" width="9.1640625" style="128"/>
    <col min="9" max="9" width="0" style="128" hidden="1" customWidth="1"/>
    <col min="10" max="10" width="2.5" style="128" customWidth="1"/>
    <col min="11" max="11" width="14.5" style="129" bestFit="1" customWidth="1"/>
    <col min="12" max="12" width="14.5" style="128" bestFit="1" customWidth="1"/>
    <col min="13" max="15" width="12.83203125" style="128" customWidth="1"/>
    <col min="16" max="16" width="13.1640625" style="128" bestFit="1" customWidth="1"/>
    <col min="17" max="20" width="13.83203125" style="128" customWidth="1"/>
    <col min="21" max="16384" width="9.1640625" style="128"/>
  </cols>
  <sheetData>
    <row r="1" spans="1:20" ht="45.75" customHeight="1" x14ac:dyDescent="0.15"/>
    <row r="2" spans="1:20" ht="18.75" customHeight="1" x14ac:dyDescent="0.15">
      <c r="K2" s="229" t="s">
        <v>1063</v>
      </c>
      <c r="L2" s="229"/>
      <c r="M2" s="229"/>
      <c r="N2" s="229"/>
      <c r="O2" s="229"/>
      <c r="P2" s="230" t="s">
        <v>1064</v>
      </c>
      <c r="Q2" s="230"/>
      <c r="R2" s="230"/>
      <c r="S2" s="230"/>
      <c r="T2" s="230"/>
    </row>
    <row r="3" spans="1:20" s="130" customFormat="1" x14ac:dyDescent="0.15">
      <c r="A3" s="130" t="s">
        <v>1065</v>
      </c>
      <c r="B3" s="130" t="s">
        <v>1066</v>
      </c>
      <c r="C3" s="130" t="s">
        <v>1067</v>
      </c>
      <c r="D3" s="130" t="s">
        <v>1068</v>
      </c>
      <c r="E3" s="130" t="s">
        <v>1069</v>
      </c>
      <c r="F3" s="130" t="s">
        <v>1070</v>
      </c>
      <c r="G3" s="130" t="s">
        <v>1071</v>
      </c>
      <c r="H3" s="130" t="s">
        <v>1072</v>
      </c>
      <c r="K3" s="131" t="s">
        <v>1073</v>
      </c>
      <c r="L3" s="132" t="s">
        <v>1074</v>
      </c>
      <c r="M3" s="132" t="str">
        <f>F3</f>
        <v>Datacenter#1</v>
      </c>
      <c r="N3" s="132" t="str">
        <f t="shared" ref="N3:O3" si="0">G3</f>
        <v>Datacenter#2</v>
      </c>
      <c r="O3" s="132" t="str">
        <f t="shared" si="0"/>
        <v>Datacenter#3</v>
      </c>
      <c r="P3" s="133" t="s">
        <v>1075</v>
      </c>
      <c r="Q3" s="133" t="s">
        <v>1076</v>
      </c>
      <c r="R3" s="133" t="str">
        <f>F3</f>
        <v>Datacenter#1</v>
      </c>
      <c r="S3" s="133" t="str">
        <f t="shared" ref="S3:T3" si="1">G3</f>
        <v>Datacenter#2</v>
      </c>
      <c r="T3" s="133" t="str">
        <f t="shared" si="1"/>
        <v>Datacenter#3</v>
      </c>
    </row>
    <row r="4" spans="1:20" x14ac:dyDescent="0.15">
      <c r="A4" s="134" t="s">
        <v>1077</v>
      </c>
      <c r="B4" s="135" t="s">
        <v>1078</v>
      </c>
      <c r="C4" s="136"/>
      <c r="D4" s="137"/>
      <c r="E4" s="137">
        <f>SUM(H4,G4,F4)</f>
        <v>1973</v>
      </c>
      <c r="F4" s="137">
        <v>398</v>
      </c>
      <c r="G4" s="137">
        <v>773</v>
      </c>
      <c r="H4" s="137">
        <v>802</v>
      </c>
      <c r="I4" s="137"/>
      <c r="J4" s="137"/>
      <c r="K4" s="138">
        <v>0</v>
      </c>
      <c r="L4" s="137">
        <f>E4*K4</f>
        <v>0</v>
      </c>
      <c r="M4" s="137">
        <f>F4*$K4</f>
        <v>0</v>
      </c>
      <c r="N4" s="137">
        <f>G4*$K4</f>
        <v>0</v>
      </c>
      <c r="O4" s="137">
        <f>H4*$K4</f>
        <v>0</v>
      </c>
      <c r="P4" s="138">
        <v>0</v>
      </c>
      <c r="Q4" s="137">
        <f>P4*E4</f>
        <v>0</v>
      </c>
      <c r="R4" s="139">
        <f>$P4*F4</f>
        <v>0</v>
      </c>
      <c r="S4" s="139">
        <f>$P4*G4</f>
        <v>0</v>
      </c>
      <c r="T4" s="139">
        <f>$P4*H4</f>
        <v>0</v>
      </c>
    </row>
    <row r="5" spans="1:20" x14ac:dyDescent="0.15">
      <c r="A5" s="134" t="s">
        <v>1077</v>
      </c>
      <c r="B5" s="135" t="s">
        <v>1078</v>
      </c>
      <c r="C5" s="136">
        <v>2000</v>
      </c>
      <c r="D5" s="137"/>
      <c r="E5" s="137">
        <f>SUM(H5,G5,F5)</f>
        <v>132</v>
      </c>
      <c r="F5" s="137">
        <v>46</v>
      </c>
      <c r="G5" s="137">
        <v>50</v>
      </c>
      <c r="H5" s="137">
        <v>36</v>
      </c>
      <c r="I5" s="137"/>
      <c r="J5" s="137"/>
      <c r="K5" s="138"/>
      <c r="L5" s="137">
        <f t="shared" ref="L5:L54" si="2">E5*K5</f>
        <v>0</v>
      </c>
      <c r="M5" s="137">
        <f t="shared" ref="M5:O54" si="3">F5*$K5</f>
        <v>0</v>
      </c>
      <c r="N5" s="137">
        <f t="shared" si="3"/>
        <v>0</v>
      </c>
      <c r="O5" s="137">
        <f t="shared" si="3"/>
        <v>0</v>
      </c>
      <c r="P5" s="138">
        <v>0.05</v>
      </c>
      <c r="Q5" s="137">
        <f t="shared" ref="Q5:Q54" si="4">P5*E5</f>
        <v>6.6000000000000005</v>
      </c>
      <c r="R5" s="139">
        <f t="shared" ref="R5:T54" si="5">$P5*F5</f>
        <v>2.3000000000000003</v>
      </c>
      <c r="S5" s="139">
        <f t="shared" si="5"/>
        <v>2.5</v>
      </c>
      <c r="T5" s="139">
        <f t="shared" si="5"/>
        <v>1.8</v>
      </c>
    </row>
    <row r="6" spans="1:20" x14ac:dyDescent="0.15">
      <c r="A6" s="134" t="s">
        <v>1077</v>
      </c>
      <c r="B6" s="135" t="s">
        <v>1078</v>
      </c>
      <c r="C6" s="136">
        <v>2003</v>
      </c>
      <c r="D6" s="137"/>
      <c r="E6" s="137">
        <f t="shared" ref="E6:E54" si="6">SUM(H6,G6,F6)</f>
        <v>1324</v>
      </c>
      <c r="F6" s="137">
        <v>234</v>
      </c>
      <c r="G6" s="137">
        <v>509</v>
      </c>
      <c r="H6" s="137">
        <v>581</v>
      </c>
      <c r="I6" s="137"/>
      <c r="J6" s="137"/>
      <c r="K6" s="138"/>
      <c r="L6" s="137">
        <f t="shared" si="2"/>
        <v>0</v>
      </c>
      <c r="M6" s="137">
        <f t="shared" si="3"/>
        <v>0</v>
      </c>
      <c r="N6" s="137">
        <f t="shared" si="3"/>
        <v>0</v>
      </c>
      <c r="O6" s="137">
        <f t="shared" si="3"/>
        <v>0</v>
      </c>
      <c r="P6" s="138">
        <v>0.05</v>
      </c>
      <c r="Q6" s="137">
        <f t="shared" si="4"/>
        <v>66.2</v>
      </c>
      <c r="R6" s="139">
        <f t="shared" si="5"/>
        <v>11.700000000000001</v>
      </c>
      <c r="S6" s="139">
        <f t="shared" si="5"/>
        <v>25.450000000000003</v>
      </c>
      <c r="T6" s="139">
        <f t="shared" si="5"/>
        <v>29.05</v>
      </c>
    </row>
    <row r="7" spans="1:20" x14ac:dyDescent="0.15">
      <c r="A7" s="134" t="s">
        <v>1077</v>
      </c>
      <c r="B7" s="135" t="s">
        <v>1078</v>
      </c>
      <c r="C7" s="136">
        <v>2008</v>
      </c>
      <c r="D7" s="137"/>
      <c r="E7" s="137">
        <f t="shared" si="6"/>
        <v>517</v>
      </c>
      <c r="F7" s="137">
        <v>118</v>
      </c>
      <c r="G7" s="137">
        <v>214</v>
      </c>
      <c r="H7" s="137">
        <v>185</v>
      </c>
      <c r="I7" s="137"/>
      <c r="J7" s="137"/>
      <c r="K7" s="138"/>
      <c r="L7" s="137">
        <f t="shared" si="2"/>
        <v>0</v>
      </c>
      <c r="M7" s="137">
        <f t="shared" si="3"/>
        <v>0</v>
      </c>
      <c r="N7" s="137">
        <f t="shared" si="3"/>
        <v>0</v>
      </c>
      <c r="O7" s="137">
        <f t="shared" si="3"/>
        <v>0</v>
      </c>
      <c r="P7" s="138">
        <v>0.05</v>
      </c>
      <c r="Q7" s="137">
        <f t="shared" si="4"/>
        <v>25.85</v>
      </c>
      <c r="R7" s="139">
        <f t="shared" si="5"/>
        <v>5.9</v>
      </c>
      <c r="S7" s="139">
        <f t="shared" si="5"/>
        <v>10.700000000000001</v>
      </c>
      <c r="T7" s="139">
        <f t="shared" si="5"/>
        <v>9.25</v>
      </c>
    </row>
    <row r="8" spans="1:20" x14ac:dyDescent="0.15">
      <c r="A8" s="134" t="s">
        <v>1077</v>
      </c>
      <c r="B8" s="135" t="s">
        <v>1079</v>
      </c>
      <c r="C8" s="136" t="s">
        <v>1080</v>
      </c>
      <c r="D8" s="137" t="s">
        <v>1081</v>
      </c>
      <c r="E8" s="137">
        <f t="shared" si="6"/>
        <v>108</v>
      </c>
      <c r="F8" s="137">
        <v>33</v>
      </c>
      <c r="G8" s="137">
        <v>64</v>
      </c>
      <c r="H8" s="137">
        <v>11</v>
      </c>
      <c r="I8" s="137"/>
      <c r="J8" s="137"/>
      <c r="K8" s="138">
        <v>0.05</v>
      </c>
      <c r="L8" s="137">
        <f t="shared" si="2"/>
        <v>5.4</v>
      </c>
      <c r="M8" s="137">
        <f t="shared" si="3"/>
        <v>1.6500000000000001</v>
      </c>
      <c r="N8" s="137">
        <f t="shared" si="3"/>
        <v>3.2</v>
      </c>
      <c r="O8" s="137">
        <f t="shared" si="3"/>
        <v>0.55000000000000004</v>
      </c>
      <c r="P8" s="138">
        <v>0.95</v>
      </c>
      <c r="Q8" s="137">
        <f t="shared" si="4"/>
        <v>102.6</v>
      </c>
      <c r="R8" s="139">
        <f t="shared" si="5"/>
        <v>31.349999999999998</v>
      </c>
      <c r="S8" s="139">
        <f t="shared" si="5"/>
        <v>60.8</v>
      </c>
      <c r="T8" s="139">
        <f t="shared" si="5"/>
        <v>10.45</v>
      </c>
    </row>
    <row r="9" spans="1:20" x14ac:dyDescent="0.15">
      <c r="A9" s="134" t="s">
        <v>1077</v>
      </c>
      <c r="B9" s="135" t="s">
        <v>1079</v>
      </c>
      <c r="C9" s="136" t="s">
        <v>1082</v>
      </c>
      <c r="D9" s="137" t="s">
        <v>1083</v>
      </c>
      <c r="E9" s="137">
        <f t="shared" si="6"/>
        <v>34</v>
      </c>
      <c r="F9" s="137">
        <v>0</v>
      </c>
      <c r="G9" s="137">
        <v>0</v>
      </c>
      <c r="H9" s="137">
        <v>34</v>
      </c>
      <c r="I9" s="137"/>
      <c r="J9" s="137"/>
      <c r="K9" s="138"/>
      <c r="L9" s="137">
        <f t="shared" si="2"/>
        <v>0</v>
      </c>
      <c r="M9" s="137">
        <f t="shared" si="3"/>
        <v>0</v>
      </c>
      <c r="N9" s="137">
        <f t="shared" si="3"/>
        <v>0</v>
      </c>
      <c r="O9" s="137">
        <f t="shared" si="3"/>
        <v>0</v>
      </c>
      <c r="P9" s="138">
        <v>0.05</v>
      </c>
      <c r="Q9" s="137">
        <f t="shared" si="4"/>
        <v>1.7000000000000002</v>
      </c>
      <c r="R9" s="139">
        <f t="shared" si="5"/>
        <v>0</v>
      </c>
      <c r="S9" s="139">
        <f t="shared" si="5"/>
        <v>0</v>
      </c>
      <c r="T9" s="139">
        <f t="shared" si="5"/>
        <v>1.7000000000000002</v>
      </c>
    </row>
    <row r="10" spans="1:20" x14ac:dyDescent="0.15">
      <c r="A10" s="134" t="s">
        <v>1077</v>
      </c>
      <c r="B10" s="135" t="s">
        <v>1079</v>
      </c>
      <c r="C10" s="136" t="s">
        <v>1084</v>
      </c>
      <c r="D10" s="137" t="s">
        <v>1085</v>
      </c>
      <c r="E10" s="137">
        <f t="shared" si="6"/>
        <v>50</v>
      </c>
      <c r="F10" s="137">
        <v>0</v>
      </c>
      <c r="G10" s="137">
        <v>48</v>
      </c>
      <c r="H10" s="137">
        <v>2</v>
      </c>
      <c r="I10" s="137"/>
      <c r="J10" s="137"/>
      <c r="K10" s="138"/>
      <c r="L10" s="137">
        <f t="shared" si="2"/>
        <v>0</v>
      </c>
      <c r="M10" s="137">
        <f t="shared" si="3"/>
        <v>0</v>
      </c>
      <c r="N10" s="137">
        <f t="shared" si="3"/>
        <v>0</v>
      </c>
      <c r="O10" s="137">
        <f t="shared" si="3"/>
        <v>0</v>
      </c>
      <c r="P10" s="138">
        <v>0.05</v>
      </c>
      <c r="Q10" s="137">
        <f t="shared" si="4"/>
        <v>2.5</v>
      </c>
      <c r="R10" s="139">
        <f t="shared" si="5"/>
        <v>0</v>
      </c>
      <c r="S10" s="139">
        <f t="shared" si="5"/>
        <v>2.4000000000000004</v>
      </c>
      <c r="T10" s="139">
        <f t="shared" si="5"/>
        <v>0.1</v>
      </c>
    </row>
    <row r="11" spans="1:20" x14ac:dyDescent="0.15">
      <c r="A11" s="134">
        <v>2</v>
      </c>
      <c r="B11" s="135" t="s">
        <v>1086</v>
      </c>
      <c r="C11" s="136" t="s">
        <v>1087</v>
      </c>
      <c r="D11" s="137"/>
      <c r="E11" s="137">
        <f t="shared" si="6"/>
        <v>3</v>
      </c>
      <c r="F11" s="137">
        <v>1</v>
      </c>
      <c r="G11" s="137">
        <v>1</v>
      </c>
      <c r="H11" s="137">
        <v>1</v>
      </c>
      <c r="I11" s="137"/>
      <c r="J11" s="137"/>
      <c r="K11" s="138"/>
      <c r="L11" s="137">
        <f t="shared" si="2"/>
        <v>0</v>
      </c>
      <c r="M11" s="137">
        <f t="shared" si="3"/>
        <v>0</v>
      </c>
      <c r="N11" s="137">
        <f t="shared" si="3"/>
        <v>0</v>
      </c>
      <c r="O11" s="137">
        <f t="shared" si="3"/>
        <v>0</v>
      </c>
      <c r="P11" s="138">
        <v>1</v>
      </c>
      <c r="Q11" s="137">
        <f t="shared" si="4"/>
        <v>3</v>
      </c>
      <c r="R11" s="139">
        <f t="shared" si="5"/>
        <v>1</v>
      </c>
      <c r="S11" s="139">
        <f t="shared" si="5"/>
        <v>1</v>
      </c>
      <c r="T11" s="139">
        <f t="shared" si="5"/>
        <v>1</v>
      </c>
    </row>
    <row r="12" spans="1:20" x14ac:dyDescent="0.15">
      <c r="A12" s="140" t="s">
        <v>1077</v>
      </c>
      <c r="B12" s="141" t="s">
        <v>1088</v>
      </c>
      <c r="C12" s="136"/>
      <c r="D12" s="136"/>
      <c r="E12" s="137">
        <f t="shared" si="6"/>
        <v>4</v>
      </c>
      <c r="F12" s="137">
        <v>0</v>
      </c>
      <c r="G12" s="137">
        <v>2</v>
      </c>
      <c r="H12" s="137">
        <v>2</v>
      </c>
      <c r="I12" s="137"/>
      <c r="J12" s="137"/>
      <c r="K12" s="138"/>
      <c r="L12" s="137">
        <f t="shared" si="2"/>
        <v>0</v>
      </c>
      <c r="M12" s="137">
        <f t="shared" si="3"/>
        <v>0</v>
      </c>
      <c r="N12" s="137">
        <f t="shared" si="3"/>
        <v>0</v>
      </c>
      <c r="O12" s="137">
        <f t="shared" si="3"/>
        <v>0</v>
      </c>
      <c r="P12" s="138">
        <v>1</v>
      </c>
      <c r="Q12" s="137">
        <f t="shared" si="4"/>
        <v>4</v>
      </c>
      <c r="R12" s="139">
        <f t="shared" si="5"/>
        <v>0</v>
      </c>
      <c r="S12" s="139">
        <f t="shared" si="5"/>
        <v>2</v>
      </c>
      <c r="T12" s="139">
        <f t="shared" si="5"/>
        <v>2</v>
      </c>
    </row>
    <row r="13" spans="1:20" x14ac:dyDescent="0.15">
      <c r="A13" s="140" t="s">
        <v>1077</v>
      </c>
      <c r="B13" s="141" t="s">
        <v>1089</v>
      </c>
      <c r="C13" s="136"/>
      <c r="D13" s="136"/>
      <c r="E13" s="137">
        <f t="shared" si="6"/>
        <v>5</v>
      </c>
      <c r="F13" s="137">
        <v>2</v>
      </c>
      <c r="G13" s="137">
        <v>3</v>
      </c>
      <c r="H13" s="137">
        <v>0</v>
      </c>
      <c r="I13" s="137"/>
      <c r="J13" s="137"/>
      <c r="K13" s="138"/>
      <c r="L13" s="137">
        <f t="shared" si="2"/>
        <v>0</v>
      </c>
      <c r="M13" s="137">
        <f t="shared" si="3"/>
        <v>0</v>
      </c>
      <c r="N13" s="137">
        <f t="shared" si="3"/>
        <v>0</v>
      </c>
      <c r="O13" s="137">
        <f t="shared" si="3"/>
        <v>0</v>
      </c>
      <c r="P13" s="138">
        <v>1</v>
      </c>
      <c r="Q13" s="137">
        <f t="shared" si="4"/>
        <v>5</v>
      </c>
      <c r="R13" s="139">
        <f t="shared" si="5"/>
        <v>2</v>
      </c>
      <c r="S13" s="139">
        <f t="shared" si="5"/>
        <v>3</v>
      </c>
      <c r="T13" s="139">
        <f t="shared" si="5"/>
        <v>0</v>
      </c>
    </row>
    <row r="14" spans="1:20" x14ac:dyDescent="0.15">
      <c r="A14" s="140" t="s">
        <v>1077</v>
      </c>
      <c r="B14" s="141" t="s">
        <v>1090</v>
      </c>
      <c r="C14" s="136"/>
      <c r="D14" s="136"/>
      <c r="E14" s="137">
        <f t="shared" si="6"/>
        <v>7</v>
      </c>
      <c r="F14" s="137">
        <v>1</v>
      </c>
      <c r="G14" s="137">
        <v>4</v>
      </c>
      <c r="H14" s="137">
        <v>2</v>
      </c>
      <c r="I14" s="137"/>
      <c r="J14" s="137"/>
      <c r="K14" s="138"/>
      <c r="L14" s="137">
        <f t="shared" si="2"/>
        <v>0</v>
      </c>
      <c r="M14" s="137">
        <f t="shared" si="3"/>
        <v>0</v>
      </c>
      <c r="N14" s="137">
        <f t="shared" si="3"/>
        <v>0</v>
      </c>
      <c r="O14" s="137">
        <f t="shared" si="3"/>
        <v>0</v>
      </c>
      <c r="P14" s="138">
        <v>1</v>
      </c>
      <c r="Q14" s="137">
        <f t="shared" si="4"/>
        <v>7</v>
      </c>
      <c r="R14" s="139">
        <f t="shared" si="5"/>
        <v>1</v>
      </c>
      <c r="S14" s="139">
        <f t="shared" si="5"/>
        <v>4</v>
      </c>
      <c r="T14" s="139">
        <f t="shared" si="5"/>
        <v>2</v>
      </c>
    </row>
    <row r="15" spans="1:20" ht="36" x14ac:dyDescent="0.15">
      <c r="A15" s="140" t="s">
        <v>1077</v>
      </c>
      <c r="B15" s="142" t="s">
        <v>1091</v>
      </c>
      <c r="C15" s="136"/>
      <c r="D15" s="143" t="s">
        <v>1092</v>
      </c>
      <c r="E15" s="137">
        <f t="shared" si="6"/>
        <v>196</v>
      </c>
      <c r="F15" s="137">
        <v>33</v>
      </c>
      <c r="G15" s="137">
        <v>44</v>
      </c>
      <c r="H15" s="137">
        <v>119</v>
      </c>
      <c r="I15" s="137"/>
      <c r="J15" s="137"/>
      <c r="K15" s="138"/>
      <c r="L15" s="137">
        <f t="shared" si="2"/>
        <v>0</v>
      </c>
      <c r="M15" s="137">
        <f t="shared" si="3"/>
        <v>0</v>
      </c>
      <c r="N15" s="137">
        <f t="shared" si="3"/>
        <v>0</v>
      </c>
      <c r="O15" s="137">
        <f t="shared" si="3"/>
        <v>0</v>
      </c>
      <c r="P15" s="138">
        <v>1</v>
      </c>
      <c r="Q15" s="137">
        <f t="shared" si="4"/>
        <v>196</v>
      </c>
      <c r="R15" s="139">
        <f t="shared" si="5"/>
        <v>33</v>
      </c>
      <c r="S15" s="139">
        <f t="shared" si="5"/>
        <v>44</v>
      </c>
      <c r="T15" s="139">
        <f t="shared" si="5"/>
        <v>119</v>
      </c>
    </row>
    <row r="16" spans="1:20" x14ac:dyDescent="0.15">
      <c r="A16" s="140">
        <v>2</v>
      </c>
      <c r="B16" s="141" t="s">
        <v>1093</v>
      </c>
      <c r="C16" s="136"/>
      <c r="D16" s="136"/>
      <c r="E16" s="137">
        <f t="shared" si="6"/>
        <v>105</v>
      </c>
      <c r="F16" s="137">
        <v>30</v>
      </c>
      <c r="G16" s="137">
        <v>44</v>
      </c>
      <c r="H16" s="137">
        <v>31</v>
      </c>
      <c r="I16" s="137"/>
      <c r="J16" s="137"/>
      <c r="K16" s="138"/>
      <c r="L16" s="137">
        <f t="shared" si="2"/>
        <v>0</v>
      </c>
      <c r="M16" s="137">
        <f t="shared" si="3"/>
        <v>0</v>
      </c>
      <c r="N16" s="137">
        <f t="shared" si="3"/>
        <v>0</v>
      </c>
      <c r="O16" s="137">
        <f t="shared" si="3"/>
        <v>0</v>
      </c>
      <c r="P16" s="138">
        <v>1</v>
      </c>
      <c r="Q16" s="137">
        <f t="shared" si="4"/>
        <v>105</v>
      </c>
      <c r="R16" s="139">
        <f t="shared" si="5"/>
        <v>30</v>
      </c>
      <c r="S16" s="139">
        <f t="shared" si="5"/>
        <v>44</v>
      </c>
      <c r="T16" s="139">
        <f t="shared" si="5"/>
        <v>31</v>
      </c>
    </row>
    <row r="17" spans="1:20" x14ac:dyDescent="0.15">
      <c r="A17" s="140" t="s">
        <v>1077</v>
      </c>
      <c r="B17" s="141" t="s">
        <v>1094</v>
      </c>
      <c r="C17" s="136" t="s">
        <v>1095</v>
      </c>
      <c r="D17" s="136"/>
      <c r="E17" s="137">
        <f t="shared" si="6"/>
        <v>1</v>
      </c>
      <c r="F17" s="137">
        <v>0</v>
      </c>
      <c r="G17" s="137">
        <v>0</v>
      </c>
      <c r="H17" s="137">
        <v>1</v>
      </c>
      <c r="I17" s="137"/>
      <c r="J17" s="137"/>
      <c r="K17" s="138"/>
      <c r="L17" s="137">
        <f t="shared" si="2"/>
        <v>0</v>
      </c>
      <c r="M17" s="137">
        <f t="shared" si="3"/>
        <v>0</v>
      </c>
      <c r="N17" s="137">
        <f t="shared" si="3"/>
        <v>0</v>
      </c>
      <c r="O17" s="137">
        <f t="shared" si="3"/>
        <v>0</v>
      </c>
      <c r="P17" s="138">
        <v>1</v>
      </c>
      <c r="Q17" s="137">
        <f t="shared" si="4"/>
        <v>1</v>
      </c>
      <c r="R17" s="139">
        <f t="shared" si="5"/>
        <v>0</v>
      </c>
      <c r="S17" s="139">
        <f t="shared" si="5"/>
        <v>0</v>
      </c>
      <c r="T17" s="139">
        <f t="shared" si="5"/>
        <v>1</v>
      </c>
    </row>
    <row r="18" spans="1:20" x14ac:dyDescent="0.15">
      <c r="A18" s="140" t="s">
        <v>1077</v>
      </c>
      <c r="B18" s="141" t="s">
        <v>1096</v>
      </c>
      <c r="C18" s="136" t="s">
        <v>1097</v>
      </c>
      <c r="D18" s="136"/>
      <c r="E18" s="137">
        <f t="shared" si="6"/>
        <v>68</v>
      </c>
      <c r="F18" s="137">
        <v>16</v>
      </c>
      <c r="G18" s="137">
        <v>29</v>
      </c>
      <c r="H18" s="137">
        <v>23</v>
      </c>
      <c r="I18" s="137"/>
      <c r="J18" s="137"/>
      <c r="K18" s="138"/>
      <c r="L18" s="137">
        <f t="shared" si="2"/>
        <v>0</v>
      </c>
      <c r="M18" s="137">
        <f t="shared" si="3"/>
        <v>0</v>
      </c>
      <c r="N18" s="137">
        <f t="shared" si="3"/>
        <v>0</v>
      </c>
      <c r="O18" s="137">
        <f t="shared" si="3"/>
        <v>0</v>
      </c>
      <c r="P18" s="138">
        <v>1</v>
      </c>
      <c r="Q18" s="137">
        <f t="shared" si="4"/>
        <v>68</v>
      </c>
      <c r="R18" s="139">
        <f t="shared" si="5"/>
        <v>16</v>
      </c>
      <c r="S18" s="139">
        <f t="shared" si="5"/>
        <v>29</v>
      </c>
      <c r="T18" s="139">
        <f t="shared" si="5"/>
        <v>23</v>
      </c>
    </row>
    <row r="19" spans="1:20" x14ac:dyDescent="0.15">
      <c r="A19" s="140" t="s">
        <v>1077</v>
      </c>
      <c r="B19" s="141" t="s">
        <v>1098</v>
      </c>
      <c r="C19" s="136" t="s">
        <v>1097</v>
      </c>
      <c r="D19" s="136"/>
      <c r="E19" s="137">
        <f t="shared" si="6"/>
        <v>228</v>
      </c>
      <c r="F19" s="137">
        <v>89</v>
      </c>
      <c r="G19" s="137">
        <v>61</v>
      </c>
      <c r="H19" s="137">
        <v>78</v>
      </c>
      <c r="I19" s="137"/>
      <c r="J19" s="137"/>
      <c r="K19" s="138"/>
      <c r="L19" s="137">
        <f t="shared" si="2"/>
        <v>0</v>
      </c>
      <c r="M19" s="137">
        <f t="shared" si="3"/>
        <v>0</v>
      </c>
      <c r="N19" s="137">
        <f t="shared" si="3"/>
        <v>0</v>
      </c>
      <c r="O19" s="137">
        <f t="shared" si="3"/>
        <v>0</v>
      </c>
      <c r="P19" s="138">
        <v>1</v>
      </c>
      <c r="Q19" s="137">
        <f t="shared" si="4"/>
        <v>228</v>
      </c>
      <c r="R19" s="139">
        <f t="shared" si="5"/>
        <v>89</v>
      </c>
      <c r="S19" s="139">
        <f t="shared" si="5"/>
        <v>61</v>
      </c>
      <c r="T19" s="139">
        <f t="shared" si="5"/>
        <v>78</v>
      </c>
    </row>
    <row r="20" spans="1:20" x14ac:dyDescent="0.15">
      <c r="A20" s="140" t="s">
        <v>1077</v>
      </c>
      <c r="B20" s="141" t="s">
        <v>1098</v>
      </c>
      <c r="C20" s="136" t="s">
        <v>1099</v>
      </c>
      <c r="D20" s="136"/>
      <c r="E20" s="137">
        <f t="shared" si="6"/>
        <v>46</v>
      </c>
      <c r="F20" s="137">
        <v>0</v>
      </c>
      <c r="G20" s="137">
        <v>0</v>
      </c>
      <c r="H20" s="137">
        <v>46</v>
      </c>
      <c r="I20" s="137"/>
      <c r="J20" s="137"/>
      <c r="K20" s="138"/>
      <c r="L20" s="137">
        <f t="shared" si="2"/>
        <v>0</v>
      </c>
      <c r="M20" s="137">
        <f t="shared" si="3"/>
        <v>0</v>
      </c>
      <c r="N20" s="137">
        <f t="shared" si="3"/>
        <v>0</v>
      </c>
      <c r="O20" s="137">
        <f t="shared" si="3"/>
        <v>0</v>
      </c>
      <c r="P20" s="138">
        <v>1</v>
      </c>
      <c r="Q20" s="137">
        <f t="shared" si="4"/>
        <v>46</v>
      </c>
      <c r="R20" s="139">
        <f t="shared" si="5"/>
        <v>0</v>
      </c>
      <c r="S20" s="139">
        <f t="shared" si="5"/>
        <v>0</v>
      </c>
      <c r="T20" s="139">
        <f t="shared" si="5"/>
        <v>46</v>
      </c>
    </row>
    <row r="21" spans="1:20" x14ac:dyDescent="0.15">
      <c r="A21" s="140" t="s">
        <v>1077</v>
      </c>
      <c r="B21" s="141" t="s">
        <v>1098</v>
      </c>
      <c r="C21" s="136" t="s">
        <v>1100</v>
      </c>
      <c r="D21" s="136"/>
      <c r="E21" s="137">
        <f t="shared" si="6"/>
        <v>4</v>
      </c>
      <c r="F21" s="137">
        <v>0</v>
      </c>
      <c r="G21" s="137">
        <v>4</v>
      </c>
      <c r="H21" s="137">
        <v>0</v>
      </c>
      <c r="I21" s="137"/>
      <c r="J21" s="137"/>
      <c r="K21" s="138"/>
      <c r="L21" s="137">
        <f t="shared" si="2"/>
        <v>0</v>
      </c>
      <c r="M21" s="137">
        <f t="shared" si="3"/>
        <v>0</v>
      </c>
      <c r="N21" s="137">
        <f t="shared" si="3"/>
        <v>0</v>
      </c>
      <c r="O21" s="137">
        <f t="shared" si="3"/>
        <v>0</v>
      </c>
      <c r="P21" s="138">
        <v>1</v>
      </c>
      <c r="Q21" s="137">
        <f t="shared" si="4"/>
        <v>4</v>
      </c>
      <c r="R21" s="139">
        <f t="shared" si="5"/>
        <v>0</v>
      </c>
      <c r="S21" s="139">
        <f t="shared" si="5"/>
        <v>4</v>
      </c>
      <c r="T21" s="139">
        <f t="shared" si="5"/>
        <v>0</v>
      </c>
    </row>
    <row r="22" spans="1:20" x14ac:dyDescent="0.15">
      <c r="A22" s="140">
        <v>1</v>
      </c>
      <c r="B22" s="141" t="s">
        <v>1101</v>
      </c>
      <c r="C22" s="136" t="s">
        <v>1102</v>
      </c>
      <c r="D22" s="144"/>
      <c r="E22" s="137">
        <f t="shared" si="6"/>
        <v>4</v>
      </c>
      <c r="F22" s="137">
        <v>2</v>
      </c>
      <c r="G22" s="137">
        <v>0</v>
      </c>
      <c r="H22" s="137">
        <v>2</v>
      </c>
      <c r="I22" s="137"/>
      <c r="J22" s="137"/>
      <c r="K22" s="138">
        <v>1</v>
      </c>
      <c r="L22" s="137">
        <f t="shared" si="2"/>
        <v>4</v>
      </c>
      <c r="M22" s="137">
        <f t="shared" si="3"/>
        <v>2</v>
      </c>
      <c r="N22" s="137">
        <f t="shared" si="3"/>
        <v>0</v>
      </c>
      <c r="O22" s="137">
        <f t="shared" si="3"/>
        <v>2</v>
      </c>
      <c r="P22" s="138">
        <v>0</v>
      </c>
      <c r="Q22" s="137">
        <f t="shared" si="4"/>
        <v>0</v>
      </c>
      <c r="R22" s="139">
        <f t="shared" si="5"/>
        <v>0</v>
      </c>
      <c r="S22" s="139">
        <f t="shared" si="5"/>
        <v>0</v>
      </c>
      <c r="T22" s="139">
        <f t="shared" si="5"/>
        <v>0</v>
      </c>
    </row>
    <row r="23" spans="1:20" x14ac:dyDescent="0.15">
      <c r="A23" s="140">
        <v>2</v>
      </c>
      <c r="B23" s="141" t="s">
        <v>1103</v>
      </c>
      <c r="C23" s="136"/>
      <c r="D23" s="136"/>
      <c r="E23" s="137">
        <f t="shared" si="6"/>
        <v>20</v>
      </c>
      <c r="F23" s="137">
        <v>2</v>
      </c>
      <c r="G23" s="137">
        <v>3</v>
      </c>
      <c r="H23" s="137">
        <v>15</v>
      </c>
      <c r="I23" s="137"/>
      <c r="J23" s="137"/>
      <c r="K23" s="138">
        <v>1</v>
      </c>
      <c r="L23" s="137">
        <f t="shared" si="2"/>
        <v>20</v>
      </c>
      <c r="M23" s="137">
        <f t="shared" si="3"/>
        <v>2</v>
      </c>
      <c r="N23" s="137">
        <f t="shared" si="3"/>
        <v>3</v>
      </c>
      <c r="O23" s="137">
        <f t="shared" si="3"/>
        <v>15</v>
      </c>
      <c r="P23" s="138">
        <v>0</v>
      </c>
      <c r="Q23" s="137">
        <f t="shared" si="4"/>
        <v>0</v>
      </c>
      <c r="R23" s="139">
        <f t="shared" si="5"/>
        <v>0</v>
      </c>
      <c r="S23" s="139">
        <f t="shared" si="5"/>
        <v>0</v>
      </c>
      <c r="T23" s="139">
        <f t="shared" si="5"/>
        <v>0</v>
      </c>
    </row>
    <row r="24" spans="1:20" x14ac:dyDescent="0.15">
      <c r="A24" s="140" t="s">
        <v>1077</v>
      </c>
      <c r="B24" s="141" t="s">
        <v>1104</v>
      </c>
      <c r="C24" s="136"/>
      <c r="D24" s="136"/>
      <c r="E24" s="137">
        <f t="shared" si="6"/>
        <v>62</v>
      </c>
      <c r="F24" s="137">
        <v>15</v>
      </c>
      <c r="G24" s="137">
        <v>17</v>
      </c>
      <c r="H24" s="137">
        <v>30</v>
      </c>
      <c r="I24" s="137"/>
      <c r="J24" s="137"/>
      <c r="K24" s="138"/>
      <c r="L24" s="137">
        <f t="shared" si="2"/>
        <v>0</v>
      </c>
      <c r="M24" s="137">
        <f t="shared" si="3"/>
        <v>0</v>
      </c>
      <c r="N24" s="137">
        <f t="shared" si="3"/>
        <v>0</v>
      </c>
      <c r="O24" s="137">
        <f t="shared" si="3"/>
        <v>0</v>
      </c>
      <c r="P24" s="138"/>
      <c r="Q24" s="137">
        <f t="shared" si="4"/>
        <v>0</v>
      </c>
      <c r="R24" s="139">
        <f t="shared" si="5"/>
        <v>0</v>
      </c>
      <c r="S24" s="139">
        <f t="shared" si="5"/>
        <v>0</v>
      </c>
      <c r="T24" s="139">
        <f t="shared" si="5"/>
        <v>0</v>
      </c>
    </row>
    <row r="25" spans="1:20" x14ac:dyDescent="0.15">
      <c r="A25" s="140" t="s">
        <v>1077</v>
      </c>
      <c r="B25" s="141" t="s">
        <v>1105</v>
      </c>
      <c r="C25" s="136"/>
      <c r="D25" s="136"/>
      <c r="E25" s="137">
        <f t="shared" si="6"/>
        <v>0</v>
      </c>
      <c r="F25" s="137"/>
      <c r="G25" s="137"/>
      <c r="H25" s="137"/>
      <c r="I25" s="137"/>
      <c r="J25" s="137"/>
      <c r="K25" s="138">
        <v>1</v>
      </c>
      <c r="L25" s="137">
        <f t="shared" si="2"/>
        <v>0</v>
      </c>
      <c r="M25" s="137">
        <f t="shared" si="3"/>
        <v>0</v>
      </c>
      <c r="N25" s="137">
        <f t="shared" si="3"/>
        <v>0</v>
      </c>
      <c r="O25" s="137">
        <f t="shared" si="3"/>
        <v>0</v>
      </c>
      <c r="P25" s="138"/>
      <c r="Q25" s="137">
        <f t="shared" si="4"/>
        <v>0</v>
      </c>
      <c r="R25" s="139">
        <f t="shared" si="5"/>
        <v>0</v>
      </c>
      <c r="S25" s="139">
        <f t="shared" si="5"/>
        <v>0</v>
      </c>
      <c r="T25" s="139">
        <f t="shared" si="5"/>
        <v>0</v>
      </c>
    </row>
    <row r="26" spans="1:20" x14ac:dyDescent="0.15">
      <c r="A26" s="140" t="s">
        <v>1077</v>
      </c>
      <c r="B26" s="141" t="s">
        <v>1106</v>
      </c>
      <c r="C26" s="136" t="s">
        <v>1107</v>
      </c>
      <c r="D26" s="136"/>
      <c r="E26" s="137">
        <f t="shared" si="6"/>
        <v>1</v>
      </c>
      <c r="F26" s="137">
        <v>0</v>
      </c>
      <c r="G26" s="137">
        <v>0</v>
      </c>
      <c r="H26" s="137">
        <v>1</v>
      </c>
      <c r="I26" s="137"/>
      <c r="J26" s="137"/>
      <c r="K26" s="138"/>
      <c r="L26" s="137">
        <f t="shared" si="2"/>
        <v>0</v>
      </c>
      <c r="M26" s="137">
        <f t="shared" si="3"/>
        <v>0</v>
      </c>
      <c r="N26" s="137">
        <f t="shared" si="3"/>
        <v>0</v>
      </c>
      <c r="O26" s="137">
        <f t="shared" si="3"/>
        <v>0</v>
      </c>
      <c r="P26" s="138"/>
      <c r="Q26" s="137">
        <f t="shared" si="4"/>
        <v>0</v>
      </c>
      <c r="R26" s="139">
        <f t="shared" si="5"/>
        <v>0</v>
      </c>
      <c r="S26" s="139">
        <f t="shared" si="5"/>
        <v>0</v>
      </c>
      <c r="T26" s="139">
        <f t="shared" si="5"/>
        <v>0</v>
      </c>
    </row>
    <row r="27" spans="1:20" x14ac:dyDescent="0.15">
      <c r="A27" s="140">
        <v>2</v>
      </c>
      <c r="B27" s="141" t="s">
        <v>1108</v>
      </c>
      <c r="C27" s="136" t="s">
        <v>1109</v>
      </c>
      <c r="D27" s="136"/>
      <c r="E27" s="137">
        <f t="shared" si="6"/>
        <v>3</v>
      </c>
      <c r="F27" s="137">
        <v>0</v>
      </c>
      <c r="G27" s="137">
        <v>0</v>
      </c>
      <c r="H27" s="137">
        <v>3</v>
      </c>
      <c r="I27" s="137"/>
      <c r="J27" s="137"/>
      <c r="K27" s="138"/>
      <c r="L27" s="137">
        <f t="shared" si="2"/>
        <v>0</v>
      </c>
      <c r="M27" s="137">
        <f t="shared" si="3"/>
        <v>0</v>
      </c>
      <c r="N27" s="137">
        <f t="shared" si="3"/>
        <v>0</v>
      </c>
      <c r="O27" s="137">
        <f t="shared" si="3"/>
        <v>0</v>
      </c>
      <c r="P27" s="138">
        <v>1</v>
      </c>
      <c r="Q27" s="137">
        <f t="shared" si="4"/>
        <v>3</v>
      </c>
      <c r="R27" s="139">
        <f t="shared" si="5"/>
        <v>0</v>
      </c>
      <c r="S27" s="139">
        <f t="shared" si="5"/>
        <v>0</v>
      </c>
      <c r="T27" s="139">
        <f t="shared" si="5"/>
        <v>3</v>
      </c>
    </row>
    <row r="28" spans="1:20" x14ac:dyDescent="0.15">
      <c r="A28" s="140">
        <v>1</v>
      </c>
      <c r="B28" s="141" t="s">
        <v>1110</v>
      </c>
      <c r="C28" s="136" t="s">
        <v>1111</v>
      </c>
      <c r="D28" s="136"/>
      <c r="E28" s="137">
        <f t="shared" si="6"/>
        <v>18</v>
      </c>
      <c r="F28" s="137">
        <v>2</v>
      </c>
      <c r="G28" s="137">
        <v>8</v>
      </c>
      <c r="H28" s="137">
        <v>8</v>
      </c>
      <c r="I28" s="137"/>
      <c r="J28" s="137"/>
      <c r="K28" s="138">
        <v>1</v>
      </c>
      <c r="L28" s="137">
        <f t="shared" si="2"/>
        <v>18</v>
      </c>
      <c r="M28" s="137">
        <f t="shared" si="3"/>
        <v>2</v>
      </c>
      <c r="N28" s="137">
        <f t="shared" si="3"/>
        <v>8</v>
      </c>
      <c r="O28" s="137">
        <f t="shared" si="3"/>
        <v>8</v>
      </c>
      <c r="P28" s="138"/>
      <c r="Q28" s="137">
        <f t="shared" si="4"/>
        <v>0</v>
      </c>
      <c r="R28" s="139">
        <f t="shared" si="5"/>
        <v>0</v>
      </c>
      <c r="S28" s="139">
        <f t="shared" si="5"/>
        <v>0</v>
      </c>
      <c r="T28" s="139">
        <f t="shared" si="5"/>
        <v>0</v>
      </c>
    </row>
    <row r="29" spans="1:20" x14ac:dyDescent="0.15">
      <c r="A29" s="140">
        <v>2</v>
      </c>
      <c r="B29" s="141" t="s">
        <v>1112</v>
      </c>
      <c r="C29" s="136" t="s">
        <v>1113</v>
      </c>
      <c r="D29" s="136"/>
      <c r="E29" s="137">
        <f t="shared" si="6"/>
        <v>2</v>
      </c>
      <c r="F29" s="137">
        <v>0</v>
      </c>
      <c r="G29" s="137">
        <v>0</v>
      </c>
      <c r="H29" s="137">
        <v>2</v>
      </c>
      <c r="I29" s="137"/>
      <c r="J29" s="137"/>
      <c r="K29" s="138"/>
      <c r="L29" s="137">
        <f t="shared" si="2"/>
        <v>0</v>
      </c>
      <c r="M29" s="137">
        <f t="shared" si="3"/>
        <v>0</v>
      </c>
      <c r="N29" s="137">
        <f t="shared" si="3"/>
        <v>0</v>
      </c>
      <c r="O29" s="137">
        <f t="shared" si="3"/>
        <v>0</v>
      </c>
      <c r="P29" s="138">
        <v>1</v>
      </c>
      <c r="Q29" s="137">
        <f t="shared" si="4"/>
        <v>2</v>
      </c>
      <c r="R29" s="139">
        <f t="shared" si="5"/>
        <v>0</v>
      </c>
      <c r="S29" s="139">
        <f t="shared" si="5"/>
        <v>0</v>
      </c>
      <c r="T29" s="139">
        <f t="shared" si="5"/>
        <v>2</v>
      </c>
    </row>
    <row r="30" spans="1:20" x14ac:dyDescent="0.15">
      <c r="A30" s="140">
        <v>2</v>
      </c>
      <c r="B30" s="141" t="s">
        <v>1114</v>
      </c>
      <c r="C30" s="136" t="s">
        <v>1115</v>
      </c>
      <c r="D30" s="136"/>
      <c r="E30" s="137">
        <f t="shared" si="6"/>
        <v>1</v>
      </c>
      <c r="F30" s="137">
        <v>0</v>
      </c>
      <c r="G30" s="137">
        <v>0</v>
      </c>
      <c r="H30" s="137">
        <v>1</v>
      </c>
      <c r="I30" s="137"/>
      <c r="J30" s="137"/>
      <c r="K30" s="138"/>
      <c r="L30" s="137">
        <f t="shared" si="2"/>
        <v>0</v>
      </c>
      <c r="M30" s="137">
        <f t="shared" si="3"/>
        <v>0</v>
      </c>
      <c r="N30" s="137">
        <f t="shared" si="3"/>
        <v>0</v>
      </c>
      <c r="O30" s="137">
        <f t="shared" si="3"/>
        <v>0</v>
      </c>
      <c r="P30" s="138">
        <v>1</v>
      </c>
      <c r="Q30" s="137">
        <f t="shared" si="4"/>
        <v>1</v>
      </c>
      <c r="R30" s="139">
        <f t="shared" si="5"/>
        <v>0</v>
      </c>
      <c r="S30" s="139">
        <f t="shared" si="5"/>
        <v>0</v>
      </c>
      <c r="T30" s="139">
        <f t="shared" si="5"/>
        <v>1</v>
      </c>
    </row>
    <row r="31" spans="1:20" x14ac:dyDescent="0.15">
      <c r="A31" s="140">
        <v>2</v>
      </c>
      <c r="B31" s="141" t="s">
        <v>1116</v>
      </c>
      <c r="C31" s="136" t="s">
        <v>1117</v>
      </c>
      <c r="D31" s="136"/>
      <c r="E31" s="137">
        <f t="shared" si="6"/>
        <v>10</v>
      </c>
      <c r="F31" s="137">
        <v>0</v>
      </c>
      <c r="G31" s="137">
        <v>0</v>
      </c>
      <c r="H31" s="137">
        <v>10</v>
      </c>
      <c r="I31" s="137"/>
      <c r="J31" s="137"/>
      <c r="K31" s="138"/>
      <c r="L31" s="137">
        <f t="shared" si="2"/>
        <v>0</v>
      </c>
      <c r="M31" s="137">
        <f t="shared" si="3"/>
        <v>0</v>
      </c>
      <c r="N31" s="137">
        <f t="shared" si="3"/>
        <v>0</v>
      </c>
      <c r="O31" s="137">
        <f t="shared" si="3"/>
        <v>0</v>
      </c>
      <c r="P31" s="138">
        <v>1</v>
      </c>
      <c r="Q31" s="137">
        <f t="shared" si="4"/>
        <v>10</v>
      </c>
      <c r="R31" s="139">
        <f t="shared" si="5"/>
        <v>0</v>
      </c>
      <c r="S31" s="139">
        <f t="shared" si="5"/>
        <v>0</v>
      </c>
      <c r="T31" s="139">
        <f t="shared" si="5"/>
        <v>10</v>
      </c>
    </row>
    <row r="32" spans="1:20" x14ac:dyDescent="0.15">
      <c r="A32" s="140">
        <v>1</v>
      </c>
      <c r="B32" s="141" t="s">
        <v>1101</v>
      </c>
      <c r="C32" s="136" t="s">
        <v>1102</v>
      </c>
      <c r="D32" s="144"/>
      <c r="E32" s="137">
        <f t="shared" si="6"/>
        <v>4</v>
      </c>
      <c r="F32" s="137">
        <v>2</v>
      </c>
      <c r="G32" s="137">
        <v>0</v>
      </c>
      <c r="H32" s="137">
        <v>2</v>
      </c>
      <c r="I32" s="137"/>
      <c r="J32" s="137"/>
      <c r="K32" s="138">
        <v>1</v>
      </c>
      <c r="L32" s="137">
        <f t="shared" si="2"/>
        <v>4</v>
      </c>
      <c r="M32" s="137">
        <f t="shared" si="3"/>
        <v>2</v>
      </c>
      <c r="N32" s="137">
        <f t="shared" si="3"/>
        <v>0</v>
      </c>
      <c r="O32" s="137">
        <f t="shared" si="3"/>
        <v>2</v>
      </c>
      <c r="P32" s="138"/>
      <c r="Q32" s="137">
        <f t="shared" si="4"/>
        <v>0</v>
      </c>
      <c r="R32" s="139">
        <f t="shared" si="5"/>
        <v>0</v>
      </c>
      <c r="S32" s="139">
        <f t="shared" si="5"/>
        <v>0</v>
      </c>
      <c r="T32" s="139">
        <f t="shared" si="5"/>
        <v>0</v>
      </c>
    </row>
    <row r="33" spans="1:20" x14ac:dyDescent="0.15">
      <c r="A33" s="140">
        <v>1</v>
      </c>
      <c r="B33" s="141" t="s">
        <v>1101</v>
      </c>
      <c r="C33" s="136" t="s">
        <v>1118</v>
      </c>
      <c r="D33" s="136"/>
      <c r="E33" s="137">
        <f t="shared" si="6"/>
        <v>13</v>
      </c>
      <c r="F33" s="137">
        <v>3</v>
      </c>
      <c r="G33" s="137">
        <v>4</v>
      </c>
      <c r="H33" s="137">
        <v>6</v>
      </c>
      <c r="I33" s="137"/>
      <c r="J33" s="137"/>
      <c r="K33" s="138">
        <v>1</v>
      </c>
      <c r="L33" s="137">
        <f t="shared" si="2"/>
        <v>13</v>
      </c>
      <c r="M33" s="137">
        <f t="shared" si="3"/>
        <v>3</v>
      </c>
      <c r="N33" s="137">
        <f t="shared" si="3"/>
        <v>4</v>
      </c>
      <c r="O33" s="137">
        <f t="shared" si="3"/>
        <v>6</v>
      </c>
      <c r="P33" s="138"/>
      <c r="Q33" s="137">
        <f t="shared" si="4"/>
        <v>0</v>
      </c>
      <c r="R33" s="139">
        <f t="shared" si="5"/>
        <v>0</v>
      </c>
      <c r="S33" s="139">
        <f t="shared" si="5"/>
        <v>0</v>
      </c>
      <c r="T33" s="139">
        <f t="shared" si="5"/>
        <v>0</v>
      </c>
    </row>
    <row r="34" spans="1:20" x14ac:dyDescent="0.15">
      <c r="A34" s="140">
        <v>1</v>
      </c>
      <c r="B34" s="141" t="s">
        <v>1119</v>
      </c>
      <c r="C34" s="136"/>
      <c r="D34" s="136"/>
      <c r="E34" s="137">
        <f t="shared" si="6"/>
        <v>11</v>
      </c>
      <c r="F34" s="137">
        <v>1</v>
      </c>
      <c r="G34" s="137">
        <v>5</v>
      </c>
      <c r="H34" s="137">
        <v>5</v>
      </c>
      <c r="I34" s="137"/>
      <c r="J34" s="137"/>
      <c r="K34" s="138">
        <v>1</v>
      </c>
      <c r="L34" s="137">
        <f t="shared" si="2"/>
        <v>11</v>
      </c>
      <c r="M34" s="137">
        <f t="shared" si="3"/>
        <v>1</v>
      </c>
      <c r="N34" s="137">
        <f t="shared" si="3"/>
        <v>5</v>
      </c>
      <c r="O34" s="137">
        <f t="shared" si="3"/>
        <v>5</v>
      </c>
      <c r="P34" s="138"/>
      <c r="Q34" s="137">
        <f t="shared" si="4"/>
        <v>0</v>
      </c>
      <c r="R34" s="139">
        <f t="shared" si="5"/>
        <v>0</v>
      </c>
      <c r="S34" s="139">
        <f t="shared" si="5"/>
        <v>0</v>
      </c>
      <c r="T34" s="139">
        <f t="shared" si="5"/>
        <v>0</v>
      </c>
    </row>
    <row r="35" spans="1:20" x14ac:dyDescent="0.15">
      <c r="A35" s="140">
        <v>1</v>
      </c>
      <c r="B35" s="141" t="s">
        <v>1120</v>
      </c>
      <c r="C35" s="136" t="s">
        <v>1121</v>
      </c>
      <c r="D35" s="136"/>
      <c r="E35" s="137">
        <f t="shared" si="6"/>
        <v>2</v>
      </c>
      <c r="F35" s="137">
        <v>0</v>
      </c>
      <c r="G35" s="137">
        <v>1</v>
      </c>
      <c r="H35" s="137">
        <v>1</v>
      </c>
      <c r="I35" s="137"/>
      <c r="J35" s="137"/>
      <c r="K35" s="138">
        <v>1</v>
      </c>
      <c r="L35" s="137">
        <f t="shared" si="2"/>
        <v>2</v>
      </c>
      <c r="M35" s="137">
        <f t="shared" si="3"/>
        <v>0</v>
      </c>
      <c r="N35" s="137">
        <f t="shared" si="3"/>
        <v>1</v>
      </c>
      <c r="O35" s="137">
        <f t="shared" si="3"/>
        <v>1</v>
      </c>
      <c r="P35" s="138"/>
      <c r="Q35" s="137">
        <f t="shared" si="4"/>
        <v>0</v>
      </c>
      <c r="R35" s="139">
        <f t="shared" si="5"/>
        <v>0</v>
      </c>
      <c r="S35" s="139">
        <f t="shared" si="5"/>
        <v>0</v>
      </c>
      <c r="T35" s="139">
        <f t="shared" si="5"/>
        <v>0</v>
      </c>
    </row>
    <row r="36" spans="1:20" x14ac:dyDescent="0.15">
      <c r="A36" s="140">
        <v>1</v>
      </c>
      <c r="B36" s="141" t="s">
        <v>1101</v>
      </c>
      <c r="C36" s="136" t="s">
        <v>1122</v>
      </c>
      <c r="D36" s="136"/>
      <c r="E36" s="137">
        <f t="shared" si="6"/>
        <v>2</v>
      </c>
      <c r="F36" s="137">
        <v>0</v>
      </c>
      <c r="G36" s="137">
        <v>0</v>
      </c>
      <c r="H36" s="137">
        <v>2</v>
      </c>
      <c r="I36" s="137"/>
      <c r="J36" s="137"/>
      <c r="K36" s="138">
        <v>1</v>
      </c>
      <c r="L36" s="137">
        <f t="shared" si="2"/>
        <v>2</v>
      </c>
      <c r="M36" s="137">
        <f t="shared" si="3"/>
        <v>0</v>
      </c>
      <c r="N36" s="137">
        <f t="shared" si="3"/>
        <v>0</v>
      </c>
      <c r="O36" s="137">
        <f t="shared" si="3"/>
        <v>2</v>
      </c>
      <c r="P36" s="138"/>
      <c r="Q36" s="137">
        <f t="shared" si="4"/>
        <v>0</v>
      </c>
      <c r="R36" s="139">
        <f t="shared" si="5"/>
        <v>0</v>
      </c>
      <c r="S36" s="139">
        <f t="shared" si="5"/>
        <v>0</v>
      </c>
      <c r="T36" s="139">
        <f t="shared" si="5"/>
        <v>0</v>
      </c>
    </row>
    <row r="37" spans="1:20" x14ac:dyDescent="0.15">
      <c r="A37" s="140">
        <v>1</v>
      </c>
      <c r="B37" s="141" t="s">
        <v>1101</v>
      </c>
      <c r="C37" s="136" t="s">
        <v>1123</v>
      </c>
      <c r="D37" s="136"/>
      <c r="E37" s="137">
        <f t="shared" si="6"/>
        <v>21</v>
      </c>
      <c r="F37" s="137">
        <v>3</v>
      </c>
      <c r="G37" s="137">
        <v>10</v>
      </c>
      <c r="H37" s="137">
        <v>8</v>
      </c>
      <c r="I37" s="137"/>
      <c r="J37" s="137"/>
      <c r="K37" s="138">
        <v>1</v>
      </c>
      <c r="L37" s="137">
        <f t="shared" si="2"/>
        <v>21</v>
      </c>
      <c r="M37" s="137">
        <f t="shared" si="3"/>
        <v>3</v>
      </c>
      <c r="N37" s="137">
        <f t="shared" si="3"/>
        <v>10</v>
      </c>
      <c r="O37" s="137">
        <f t="shared" si="3"/>
        <v>8</v>
      </c>
      <c r="P37" s="138"/>
      <c r="Q37" s="137">
        <f t="shared" si="4"/>
        <v>0</v>
      </c>
      <c r="R37" s="139">
        <f t="shared" si="5"/>
        <v>0</v>
      </c>
      <c r="S37" s="139">
        <f t="shared" si="5"/>
        <v>0</v>
      </c>
      <c r="T37" s="139">
        <f t="shared" si="5"/>
        <v>0</v>
      </c>
    </row>
    <row r="38" spans="1:20" x14ac:dyDescent="0.15">
      <c r="A38" s="140">
        <v>1</v>
      </c>
      <c r="B38" s="141" t="s">
        <v>1124</v>
      </c>
      <c r="C38" s="136" t="s">
        <v>1125</v>
      </c>
      <c r="D38" s="136"/>
      <c r="E38" s="137">
        <f t="shared" si="6"/>
        <v>2</v>
      </c>
      <c r="F38" s="137">
        <v>0</v>
      </c>
      <c r="G38" s="137">
        <v>0</v>
      </c>
      <c r="H38" s="137">
        <v>2</v>
      </c>
      <c r="I38" s="137"/>
      <c r="J38" s="137"/>
      <c r="K38" s="138">
        <v>1</v>
      </c>
      <c r="L38" s="137">
        <f t="shared" si="2"/>
        <v>2</v>
      </c>
      <c r="M38" s="137">
        <f t="shared" si="3"/>
        <v>0</v>
      </c>
      <c r="N38" s="137">
        <f t="shared" si="3"/>
        <v>0</v>
      </c>
      <c r="O38" s="137">
        <f t="shared" si="3"/>
        <v>2</v>
      </c>
      <c r="P38" s="138"/>
      <c r="Q38" s="137">
        <f t="shared" si="4"/>
        <v>0</v>
      </c>
      <c r="R38" s="139">
        <f t="shared" si="5"/>
        <v>0</v>
      </c>
      <c r="S38" s="139">
        <f t="shared" si="5"/>
        <v>0</v>
      </c>
      <c r="T38" s="139">
        <f t="shared" si="5"/>
        <v>0</v>
      </c>
    </row>
    <row r="39" spans="1:20" x14ac:dyDescent="0.15">
      <c r="A39" s="140">
        <v>1</v>
      </c>
      <c r="B39" s="141" t="s">
        <v>1124</v>
      </c>
      <c r="C39" s="136" t="s">
        <v>1126</v>
      </c>
      <c r="D39" s="136"/>
      <c r="E39" s="137">
        <f t="shared" si="6"/>
        <v>2</v>
      </c>
      <c r="F39" s="137">
        <v>0</v>
      </c>
      <c r="G39" s="137">
        <v>1</v>
      </c>
      <c r="H39" s="137">
        <v>1</v>
      </c>
      <c r="I39" s="137"/>
      <c r="J39" s="137"/>
      <c r="K39" s="138">
        <v>1</v>
      </c>
      <c r="L39" s="137">
        <f t="shared" si="2"/>
        <v>2</v>
      </c>
      <c r="M39" s="137">
        <f t="shared" si="3"/>
        <v>0</v>
      </c>
      <c r="N39" s="137">
        <f t="shared" si="3"/>
        <v>1</v>
      </c>
      <c r="O39" s="137">
        <f t="shared" si="3"/>
        <v>1</v>
      </c>
      <c r="P39" s="138"/>
      <c r="Q39" s="137">
        <f t="shared" si="4"/>
        <v>0</v>
      </c>
      <c r="R39" s="139">
        <f t="shared" si="5"/>
        <v>0</v>
      </c>
      <c r="S39" s="139">
        <f t="shared" si="5"/>
        <v>0</v>
      </c>
      <c r="T39" s="139">
        <f t="shared" si="5"/>
        <v>0</v>
      </c>
    </row>
    <row r="40" spans="1:20" x14ac:dyDescent="0.15">
      <c r="A40" s="140">
        <v>1</v>
      </c>
      <c r="B40" s="141" t="s">
        <v>1127</v>
      </c>
      <c r="C40" s="136" t="s">
        <v>1128</v>
      </c>
      <c r="D40" s="136" t="s">
        <v>1129</v>
      </c>
      <c r="E40" s="137">
        <f t="shared" si="6"/>
        <v>20</v>
      </c>
      <c r="F40" s="137">
        <v>7</v>
      </c>
      <c r="G40" s="137">
        <v>9</v>
      </c>
      <c r="H40" s="137">
        <v>4</v>
      </c>
      <c r="I40" s="137"/>
      <c r="J40" s="137"/>
      <c r="K40" s="138">
        <v>1</v>
      </c>
      <c r="L40" s="137">
        <f t="shared" si="2"/>
        <v>20</v>
      </c>
      <c r="M40" s="137">
        <f t="shared" si="3"/>
        <v>7</v>
      </c>
      <c r="N40" s="137">
        <f t="shared" si="3"/>
        <v>9</v>
      </c>
      <c r="O40" s="137">
        <f t="shared" si="3"/>
        <v>4</v>
      </c>
      <c r="P40" s="138"/>
      <c r="Q40" s="137">
        <f t="shared" si="4"/>
        <v>0</v>
      </c>
      <c r="R40" s="139">
        <f t="shared" si="5"/>
        <v>0</v>
      </c>
      <c r="S40" s="139">
        <f t="shared" si="5"/>
        <v>0</v>
      </c>
      <c r="T40" s="139">
        <f t="shared" si="5"/>
        <v>0</v>
      </c>
    </row>
    <row r="41" spans="1:20" x14ac:dyDescent="0.15">
      <c r="A41" s="140">
        <v>1</v>
      </c>
      <c r="B41" s="141" t="s">
        <v>1130</v>
      </c>
      <c r="C41" s="136" t="s">
        <v>1131</v>
      </c>
      <c r="D41" s="136"/>
      <c r="E41" s="137">
        <f t="shared" si="6"/>
        <v>6</v>
      </c>
      <c r="F41" s="137">
        <v>0</v>
      </c>
      <c r="G41" s="137">
        <v>0</v>
      </c>
      <c r="H41" s="137">
        <v>6</v>
      </c>
      <c r="I41" s="137"/>
      <c r="J41" s="137"/>
      <c r="K41" s="138">
        <v>1</v>
      </c>
      <c r="L41" s="137">
        <f t="shared" si="2"/>
        <v>6</v>
      </c>
      <c r="M41" s="137">
        <f t="shared" si="3"/>
        <v>0</v>
      </c>
      <c r="N41" s="137">
        <f t="shared" si="3"/>
        <v>0</v>
      </c>
      <c r="O41" s="137">
        <f t="shared" si="3"/>
        <v>6</v>
      </c>
      <c r="P41" s="138"/>
      <c r="Q41" s="137">
        <f t="shared" si="4"/>
        <v>0</v>
      </c>
      <c r="R41" s="139">
        <f t="shared" si="5"/>
        <v>0</v>
      </c>
      <c r="S41" s="139">
        <f t="shared" si="5"/>
        <v>0</v>
      </c>
      <c r="T41" s="139">
        <f t="shared" si="5"/>
        <v>0</v>
      </c>
    </row>
    <row r="42" spans="1:20" x14ac:dyDescent="0.15">
      <c r="A42" s="140">
        <v>1</v>
      </c>
      <c r="B42" s="141" t="s">
        <v>1130</v>
      </c>
      <c r="C42" s="136" t="s">
        <v>1132</v>
      </c>
      <c r="D42" s="136"/>
      <c r="E42" s="137">
        <f t="shared" si="6"/>
        <v>4</v>
      </c>
      <c r="F42" s="137">
        <v>0</v>
      </c>
      <c r="G42" s="137">
        <v>4</v>
      </c>
      <c r="H42" s="137">
        <v>0</v>
      </c>
      <c r="I42" s="137"/>
      <c r="J42" s="137"/>
      <c r="K42" s="138">
        <v>1</v>
      </c>
      <c r="L42" s="137">
        <f t="shared" si="2"/>
        <v>4</v>
      </c>
      <c r="M42" s="137">
        <f t="shared" si="3"/>
        <v>0</v>
      </c>
      <c r="N42" s="137">
        <f t="shared" si="3"/>
        <v>4</v>
      </c>
      <c r="O42" s="137">
        <f t="shared" si="3"/>
        <v>0</v>
      </c>
      <c r="P42" s="138"/>
      <c r="Q42" s="137">
        <f t="shared" si="4"/>
        <v>0</v>
      </c>
      <c r="R42" s="139">
        <f t="shared" si="5"/>
        <v>0</v>
      </c>
      <c r="S42" s="139">
        <f t="shared" si="5"/>
        <v>0</v>
      </c>
      <c r="T42" s="139">
        <f t="shared" si="5"/>
        <v>0</v>
      </c>
    </row>
    <row r="43" spans="1:20" x14ac:dyDescent="0.15">
      <c r="A43" s="140">
        <v>1</v>
      </c>
      <c r="B43" s="141" t="s">
        <v>1133</v>
      </c>
      <c r="C43" s="136"/>
      <c r="D43" s="136"/>
      <c r="E43" s="137">
        <f t="shared" si="6"/>
        <v>62</v>
      </c>
      <c r="F43" s="137">
        <v>18</v>
      </c>
      <c r="G43" s="137">
        <v>22</v>
      </c>
      <c r="H43" s="137">
        <v>22</v>
      </c>
      <c r="I43" s="137"/>
      <c r="J43" s="137"/>
      <c r="K43" s="138">
        <v>1</v>
      </c>
      <c r="L43" s="137">
        <f t="shared" si="2"/>
        <v>62</v>
      </c>
      <c r="M43" s="137">
        <f t="shared" si="3"/>
        <v>18</v>
      </c>
      <c r="N43" s="137">
        <f t="shared" si="3"/>
        <v>22</v>
      </c>
      <c r="O43" s="137">
        <f t="shared" si="3"/>
        <v>22</v>
      </c>
      <c r="P43" s="138"/>
      <c r="Q43" s="137">
        <f t="shared" si="4"/>
        <v>0</v>
      </c>
      <c r="R43" s="139">
        <f t="shared" si="5"/>
        <v>0</v>
      </c>
      <c r="S43" s="139">
        <f t="shared" si="5"/>
        <v>0</v>
      </c>
      <c r="T43" s="139">
        <f t="shared" si="5"/>
        <v>0</v>
      </c>
    </row>
    <row r="44" spans="1:20" x14ac:dyDescent="0.15">
      <c r="A44" s="140">
        <v>1</v>
      </c>
      <c r="B44" s="141" t="s">
        <v>1134</v>
      </c>
      <c r="C44" s="136" t="s">
        <v>1135</v>
      </c>
      <c r="D44" s="136"/>
      <c r="E44" s="137">
        <f t="shared" si="6"/>
        <v>6</v>
      </c>
      <c r="F44" s="137">
        <v>1</v>
      </c>
      <c r="G44" s="137">
        <v>1</v>
      </c>
      <c r="H44" s="137">
        <v>4</v>
      </c>
      <c r="I44" s="137"/>
      <c r="J44" s="137"/>
      <c r="K44" s="138">
        <v>1</v>
      </c>
      <c r="L44" s="137">
        <f t="shared" si="2"/>
        <v>6</v>
      </c>
      <c r="M44" s="137">
        <f t="shared" si="3"/>
        <v>1</v>
      </c>
      <c r="N44" s="137">
        <f t="shared" si="3"/>
        <v>1</v>
      </c>
      <c r="O44" s="137">
        <f t="shared" si="3"/>
        <v>4</v>
      </c>
      <c r="P44" s="138"/>
      <c r="Q44" s="137">
        <f t="shared" si="4"/>
        <v>0</v>
      </c>
      <c r="R44" s="139">
        <f t="shared" si="5"/>
        <v>0</v>
      </c>
      <c r="S44" s="139">
        <f t="shared" si="5"/>
        <v>0</v>
      </c>
      <c r="T44" s="139">
        <f t="shared" si="5"/>
        <v>0</v>
      </c>
    </row>
    <row r="45" spans="1:20" x14ac:dyDescent="0.15">
      <c r="A45" s="140">
        <v>1</v>
      </c>
      <c r="B45" s="141" t="s">
        <v>1136</v>
      </c>
      <c r="C45" s="136" t="s">
        <v>1137</v>
      </c>
      <c r="D45" s="136"/>
      <c r="E45" s="137">
        <f t="shared" si="6"/>
        <v>5</v>
      </c>
      <c r="F45" s="137">
        <v>1</v>
      </c>
      <c r="G45" s="137">
        <v>2</v>
      </c>
      <c r="H45" s="137">
        <v>2</v>
      </c>
      <c r="I45" s="137"/>
      <c r="J45" s="137"/>
      <c r="K45" s="138">
        <v>1</v>
      </c>
      <c r="L45" s="137">
        <f t="shared" si="2"/>
        <v>5</v>
      </c>
      <c r="M45" s="137">
        <f t="shared" si="3"/>
        <v>1</v>
      </c>
      <c r="N45" s="137">
        <f t="shared" si="3"/>
        <v>2</v>
      </c>
      <c r="O45" s="137">
        <f t="shared" si="3"/>
        <v>2</v>
      </c>
      <c r="P45" s="138"/>
      <c r="Q45" s="137">
        <f t="shared" si="4"/>
        <v>0</v>
      </c>
      <c r="R45" s="139">
        <f t="shared" si="5"/>
        <v>0</v>
      </c>
      <c r="S45" s="139">
        <f t="shared" si="5"/>
        <v>0</v>
      </c>
      <c r="T45" s="139">
        <f t="shared" si="5"/>
        <v>0</v>
      </c>
    </row>
    <row r="46" spans="1:20" s="141" customFormat="1" x14ac:dyDescent="0.15">
      <c r="A46" s="141">
        <v>1</v>
      </c>
      <c r="B46" s="141" t="s">
        <v>1138</v>
      </c>
      <c r="C46" s="136" t="s">
        <v>1139</v>
      </c>
      <c r="E46" s="137">
        <f t="shared" si="6"/>
        <v>4</v>
      </c>
      <c r="F46" s="137">
        <v>1</v>
      </c>
      <c r="G46" s="137">
        <v>1</v>
      </c>
      <c r="H46" s="137">
        <v>2</v>
      </c>
      <c r="I46" s="137"/>
      <c r="J46" s="137"/>
      <c r="K46" s="138">
        <v>1</v>
      </c>
      <c r="L46" s="137">
        <f t="shared" si="2"/>
        <v>4</v>
      </c>
      <c r="M46" s="137">
        <f t="shared" si="3"/>
        <v>1</v>
      </c>
      <c r="N46" s="137">
        <f t="shared" si="3"/>
        <v>1</v>
      </c>
      <c r="O46" s="137">
        <f t="shared" si="3"/>
        <v>2</v>
      </c>
      <c r="P46" s="138"/>
      <c r="Q46" s="137">
        <f t="shared" si="4"/>
        <v>0</v>
      </c>
      <c r="R46" s="139">
        <f t="shared" si="5"/>
        <v>0</v>
      </c>
      <c r="S46" s="139">
        <f t="shared" si="5"/>
        <v>0</v>
      </c>
      <c r="T46" s="139">
        <f t="shared" si="5"/>
        <v>0</v>
      </c>
    </row>
    <row r="47" spans="1:20" s="141" customFormat="1" x14ac:dyDescent="0.15">
      <c r="A47" s="141">
        <v>1</v>
      </c>
      <c r="B47" s="141" t="s">
        <v>1140</v>
      </c>
      <c r="C47" s="136" t="s">
        <v>1141</v>
      </c>
      <c r="E47" s="137">
        <f t="shared" si="6"/>
        <v>1</v>
      </c>
      <c r="F47" s="137">
        <v>0</v>
      </c>
      <c r="G47" s="137">
        <v>0</v>
      </c>
      <c r="H47" s="137">
        <v>1</v>
      </c>
      <c r="I47" s="137"/>
      <c r="J47" s="137"/>
      <c r="K47" s="138">
        <v>1</v>
      </c>
      <c r="L47" s="137">
        <f t="shared" si="2"/>
        <v>1</v>
      </c>
      <c r="M47" s="137">
        <f t="shared" si="3"/>
        <v>0</v>
      </c>
      <c r="N47" s="137">
        <f t="shared" si="3"/>
        <v>0</v>
      </c>
      <c r="O47" s="137">
        <f t="shared" si="3"/>
        <v>1</v>
      </c>
      <c r="P47" s="138"/>
      <c r="Q47" s="137">
        <f t="shared" si="4"/>
        <v>0</v>
      </c>
      <c r="R47" s="139">
        <f t="shared" si="5"/>
        <v>0</v>
      </c>
      <c r="S47" s="139">
        <f t="shared" si="5"/>
        <v>0</v>
      </c>
      <c r="T47" s="139">
        <f t="shared" si="5"/>
        <v>0</v>
      </c>
    </row>
    <row r="48" spans="1:20" s="141" customFormat="1" x14ac:dyDescent="0.15">
      <c r="A48" s="141">
        <v>1</v>
      </c>
      <c r="B48" s="141" t="s">
        <v>1142</v>
      </c>
      <c r="C48" s="136"/>
      <c r="E48" s="137">
        <f t="shared" si="6"/>
        <v>7</v>
      </c>
      <c r="F48" s="137">
        <v>2</v>
      </c>
      <c r="G48" s="137">
        <v>3</v>
      </c>
      <c r="H48" s="137">
        <v>2</v>
      </c>
      <c r="I48" s="137"/>
      <c r="J48" s="137"/>
      <c r="K48" s="138">
        <v>1</v>
      </c>
      <c r="L48" s="137">
        <f t="shared" si="2"/>
        <v>7</v>
      </c>
      <c r="M48" s="137">
        <f t="shared" si="3"/>
        <v>2</v>
      </c>
      <c r="N48" s="137">
        <f t="shared" si="3"/>
        <v>3</v>
      </c>
      <c r="O48" s="137">
        <f t="shared" si="3"/>
        <v>2</v>
      </c>
      <c r="P48" s="138"/>
      <c r="Q48" s="137">
        <f t="shared" si="4"/>
        <v>0</v>
      </c>
      <c r="R48" s="139">
        <f t="shared" si="5"/>
        <v>0</v>
      </c>
      <c r="S48" s="139">
        <f t="shared" si="5"/>
        <v>0</v>
      </c>
      <c r="T48" s="139">
        <f t="shared" si="5"/>
        <v>0</v>
      </c>
    </row>
    <row r="49" spans="1:20" s="141" customFormat="1" x14ac:dyDescent="0.15">
      <c r="A49" s="141">
        <v>1</v>
      </c>
      <c r="B49" s="141" t="s">
        <v>1143</v>
      </c>
      <c r="C49" s="136" t="s">
        <v>1109</v>
      </c>
      <c r="E49" s="137">
        <f t="shared" si="6"/>
        <v>3</v>
      </c>
      <c r="F49" s="137">
        <v>0</v>
      </c>
      <c r="G49" s="137">
        <v>0</v>
      </c>
      <c r="H49" s="137">
        <v>3</v>
      </c>
      <c r="I49" s="137"/>
      <c r="J49" s="137"/>
      <c r="K49" s="138">
        <v>1</v>
      </c>
      <c r="L49" s="137">
        <f t="shared" si="2"/>
        <v>3</v>
      </c>
      <c r="M49" s="137">
        <f t="shared" si="3"/>
        <v>0</v>
      </c>
      <c r="N49" s="137">
        <f t="shared" si="3"/>
        <v>0</v>
      </c>
      <c r="O49" s="137">
        <f t="shared" si="3"/>
        <v>3</v>
      </c>
      <c r="P49" s="138"/>
      <c r="Q49" s="137">
        <f t="shared" si="4"/>
        <v>0</v>
      </c>
      <c r="R49" s="139">
        <f t="shared" si="5"/>
        <v>0</v>
      </c>
      <c r="S49" s="139">
        <f t="shared" si="5"/>
        <v>0</v>
      </c>
      <c r="T49" s="139">
        <f t="shared" si="5"/>
        <v>0</v>
      </c>
    </row>
    <row r="50" spans="1:20" s="141" customFormat="1" x14ac:dyDescent="0.15">
      <c r="A50" s="141">
        <v>1</v>
      </c>
      <c r="B50" s="141" t="s">
        <v>1144</v>
      </c>
      <c r="C50" s="136" t="s">
        <v>1145</v>
      </c>
      <c r="E50" s="137">
        <f t="shared" si="6"/>
        <v>130</v>
      </c>
      <c r="F50" s="137">
        <v>95</v>
      </c>
      <c r="G50" s="137">
        <v>3</v>
      </c>
      <c r="H50" s="137">
        <v>32</v>
      </c>
      <c r="I50" s="137"/>
      <c r="J50" s="137"/>
      <c r="K50" s="138">
        <v>1</v>
      </c>
      <c r="L50" s="137">
        <f t="shared" si="2"/>
        <v>130</v>
      </c>
      <c r="M50" s="137">
        <f t="shared" si="3"/>
        <v>95</v>
      </c>
      <c r="N50" s="137">
        <f t="shared" si="3"/>
        <v>3</v>
      </c>
      <c r="O50" s="137">
        <f t="shared" si="3"/>
        <v>32</v>
      </c>
      <c r="P50" s="138"/>
      <c r="Q50" s="137">
        <f t="shared" si="4"/>
        <v>0</v>
      </c>
      <c r="R50" s="139">
        <f t="shared" si="5"/>
        <v>0</v>
      </c>
      <c r="S50" s="139">
        <f t="shared" si="5"/>
        <v>0</v>
      </c>
      <c r="T50" s="139">
        <f t="shared" si="5"/>
        <v>0</v>
      </c>
    </row>
    <row r="51" spans="1:20" s="141" customFormat="1" x14ac:dyDescent="0.15">
      <c r="A51" s="141">
        <v>3</v>
      </c>
      <c r="B51" s="141" t="s">
        <v>1146</v>
      </c>
      <c r="C51" s="136" t="s">
        <v>1147</v>
      </c>
      <c r="E51" s="137">
        <f t="shared" si="6"/>
        <v>54</v>
      </c>
      <c r="F51" s="137">
        <v>0</v>
      </c>
      <c r="G51" s="137">
        <v>54</v>
      </c>
      <c r="H51" s="137">
        <v>0</v>
      </c>
      <c r="I51" s="137"/>
      <c r="J51" s="137"/>
      <c r="K51" s="138">
        <v>0</v>
      </c>
      <c r="L51" s="137">
        <f t="shared" si="2"/>
        <v>0</v>
      </c>
      <c r="M51" s="137">
        <f t="shared" si="3"/>
        <v>0</v>
      </c>
      <c r="N51" s="137">
        <f t="shared" si="3"/>
        <v>0</v>
      </c>
      <c r="O51" s="137">
        <f t="shared" si="3"/>
        <v>0</v>
      </c>
      <c r="P51" s="138"/>
      <c r="Q51" s="137">
        <f t="shared" si="4"/>
        <v>0</v>
      </c>
      <c r="R51" s="139">
        <f t="shared" si="5"/>
        <v>0</v>
      </c>
      <c r="S51" s="139">
        <f t="shared" si="5"/>
        <v>0</v>
      </c>
      <c r="T51" s="139">
        <f t="shared" si="5"/>
        <v>0</v>
      </c>
    </row>
    <row r="52" spans="1:20" s="141" customFormat="1" x14ac:dyDescent="0.15">
      <c r="A52" s="141">
        <v>3</v>
      </c>
      <c r="B52" s="141" t="s">
        <v>1148</v>
      </c>
      <c r="C52" s="136" t="s">
        <v>1149</v>
      </c>
      <c r="E52" s="137">
        <f t="shared" si="6"/>
        <v>26</v>
      </c>
      <c r="F52" s="137">
        <v>0</v>
      </c>
      <c r="G52" s="137">
        <v>26</v>
      </c>
      <c r="H52" s="137">
        <v>0</v>
      </c>
      <c r="I52" s="137"/>
      <c r="J52" s="137"/>
      <c r="K52" s="138">
        <v>0</v>
      </c>
      <c r="L52" s="137">
        <f t="shared" si="2"/>
        <v>0</v>
      </c>
      <c r="M52" s="137">
        <f t="shared" si="3"/>
        <v>0</v>
      </c>
      <c r="N52" s="137">
        <f t="shared" si="3"/>
        <v>0</v>
      </c>
      <c r="O52" s="137">
        <f t="shared" si="3"/>
        <v>0</v>
      </c>
      <c r="P52" s="138"/>
      <c r="Q52" s="137">
        <f t="shared" si="4"/>
        <v>0</v>
      </c>
      <c r="R52" s="139">
        <f t="shared" si="5"/>
        <v>0</v>
      </c>
      <c r="S52" s="139">
        <f t="shared" si="5"/>
        <v>0</v>
      </c>
      <c r="T52" s="139">
        <f t="shared" si="5"/>
        <v>0</v>
      </c>
    </row>
    <row r="53" spans="1:20" s="141" customFormat="1" x14ac:dyDescent="0.15">
      <c r="A53" s="141">
        <v>3</v>
      </c>
      <c r="B53" s="141" t="s">
        <v>1150</v>
      </c>
      <c r="C53" s="136" t="s">
        <v>1147</v>
      </c>
      <c r="E53" s="137">
        <f t="shared" si="6"/>
        <v>159</v>
      </c>
      <c r="F53" s="137">
        <v>0</v>
      </c>
      <c r="G53" s="137">
        <v>0</v>
      </c>
      <c r="H53" s="137">
        <v>159</v>
      </c>
      <c r="I53" s="137"/>
      <c r="J53" s="137"/>
      <c r="K53" s="138">
        <v>0</v>
      </c>
      <c r="L53" s="137">
        <f t="shared" si="2"/>
        <v>0</v>
      </c>
      <c r="M53" s="137">
        <f t="shared" si="3"/>
        <v>0</v>
      </c>
      <c r="N53" s="137">
        <f t="shared" si="3"/>
        <v>0</v>
      </c>
      <c r="O53" s="137">
        <f t="shared" si="3"/>
        <v>0</v>
      </c>
      <c r="P53" s="138"/>
      <c r="Q53" s="137">
        <f t="shared" si="4"/>
        <v>0</v>
      </c>
      <c r="R53" s="139">
        <f t="shared" si="5"/>
        <v>0</v>
      </c>
      <c r="S53" s="139">
        <f t="shared" si="5"/>
        <v>0</v>
      </c>
      <c r="T53" s="139">
        <f t="shared" si="5"/>
        <v>0</v>
      </c>
    </row>
    <row r="54" spans="1:20" s="141" customFormat="1" x14ac:dyDescent="0.15">
      <c r="A54" s="141">
        <v>3</v>
      </c>
      <c r="B54" s="141" t="s">
        <v>1151</v>
      </c>
      <c r="C54" s="136" t="s">
        <v>1149</v>
      </c>
      <c r="E54" s="137">
        <f t="shared" si="6"/>
        <v>11</v>
      </c>
      <c r="F54" s="137">
        <v>0</v>
      </c>
      <c r="G54" s="137">
        <v>0</v>
      </c>
      <c r="H54" s="137">
        <v>11</v>
      </c>
      <c r="I54" s="137"/>
      <c r="J54" s="137"/>
      <c r="K54" s="138">
        <v>0</v>
      </c>
      <c r="L54" s="137">
        <f t="shared" si="2"/>
        <v>0</v>
      </c>
      <c r="M54" s="137">
        <f t="shared" si="3"/>
        <v>0</v>
      </c>
      <c r="N54" s="137">
        <f t="shared" si="3"/>
        <v>0</v>
      </c>
      <c r="O54" s="137">
        <f t="shared" si="3"/>
        <v>0</v>
      </c>
      <c r="P54" s="138"/>
      <c r="Q54" s="137">
        <f t="shared" si="4"/>
        <v>0</v>
      </c>
      <c r="R54" s="139">
        <f t="shared" si="5"/>
        <v>0</v>
      </c>
      <c r="S54" s="139">
        <f t="shared" si="5"/>
        <v>0</v>
      </c>
      <c r="T54" s="139">
        <f t="shared" si="5"/>
        <v>0</v>
      </c>
    </row>
    <row r="55" spans="1:20" s="152" customFormat="1" x14ac:dyDescent="0.15">
      <c r="A55" s="145"/>
      <c r="B55" s="145"/>
      <c r="C55" s="146"/>
      <c r="D55" s="146"/>
      <c r="E55" s="146"/>
      <c r="F55" s="147">
        <f>SUM(F4:F54)</f>
        <v>1156</v>
      </c>
      <c r="G55" s="147">
        <f t="shared" ref="G55:H55" si="7">SUM(G4:G54)</f>
        <v>2024</v>
      </c>
      <c r="H55" s="147">
        <f t="shared" si="7"/>
        <v>2301</v>
      </c>
      <c r="I55" s="145"/>
      <c r="J55" s="145"/>
      <c r="K55" s="148"/>
      <c r="L55" s="149">
        <f>SUM(L4:L54)</f>
        <v>352.4</v>
      </c>
      <c r="M55" s="149">
        <f>SUM(M4:M54)</f>
        <v>141.65</v>
      </c>
      <c r="N55" s="149">
        <f t="shared" ref="N55:O55" si="8">SUM(N4:N54)</f>
        <v>80.2</v>
      </c>
      <c r="O55" s="149">
        <f t="shared" si="8"/>
        <v>130.55000000000001</v>
      </c>
      <c r="P55" s="150"/>
      <c r="Q55" s="151">
        <f>SUM(Q4:Q54)</f>
        <v>888.45</v>
      </c>
      <c r="R55" s="151">
        <f>SUM(R4:R54)</f>
        <v>223.25</v>
      </c>
      <c r="S55" s="151">
        <f t="shared" ref="S55:T55" si="9">SUM(S4:S54)</f>
        <v>293.85000000000002</v>
      </c>
      <c r="T55" s="151">
        <f t="shared" si="9"/>
        <v>371.35</v>
      </c>
    </row>
    <row r="56" spans="1:20" x14ac:dyDescent="0.15">
      <c r="K56" s="153"/>
      <c r="L56" s="154"/>
      <c r="M56" s="155"/>
      <c r="N56" s="154"/>
      <c r="O56" s="149">
        <f>SUM(M55:O55)</f>
        <v>352.40000000000003</v>
      </c>
      <c r="P56" s="156"/>
      <c r="Q56" s="156"/>
      <c r="R56" s="156"/>
      <c r="S56" s="156"/>
      <c r="T56" s="151">
        <f>SUM(R55:T55)</f>
        <v>888.45</v>
      </c>
    </row>
    <row r="62" spans="1:20" s="158" customFormat="1" x14ac:dyDescent="0.15">
      <c r="A62" s="157" t="s">
        <v>1152</v>
      </c>
      <c r="K62" s="159"/>
    </row>
    <row r="63" spans="1:20" s="158" customFormat="1" x14ac:dyDescent="0.15">
      <c r="A63" s="157" t="s">
        <v>1153</v>
      </c>
      <c r="K63" s="159"/>
    </row>
    <row r="64" spans="1:20" s="158" customFormat="1" x14ac:dyDescent="0.15">
      <c r="A64" s="160" t="s">
        <v>1154</v>
      </c>
      <c r="K64" s="159"/>
    </row>
    <row r="65" spans="1:11" s="158" customFormat="1" x14ac:dyDescent="0.15">
      <c r="A65" s="160" t="s">
        <v>1155</v>
      </c>
      <c r="K65" s="159"/>
    </row>
    <row r="66" spans="1:11" s="158" customFormat="1" x14ac:dyDescent="0.15">
      <c r="A66" s="160" t="s">
        <v>1156</v>
      </c>
      <c r="K66" s="159"/>
    </row>
    <row r="67" spans="1:11" s="158" customFormat="1" x14ac:dyDescent="0.15">
      <c r="A67" s="160" t="s">
        <v>1157</v>
      </c>
      <c r="K67" s="159"/>
    </row>
    <row r="68" spans="1:11" s="158" customFormat="1" x14ac:dyDescent="0.15">
      <c r="A68" s="160" t="s">
        <v>1158</v>
      </c>
      <c r="K68" s="159"/>
    </row>
    <row r="69" spans="1:11" s="158" customFormat="1" x14ac:dyDescent="0.15">
      <c r="A69" s="160" t="s">
        <v>1159</v>
      </c>
      <c r="K69" s="159"/>
    </row>
    <row r="70" spans="1:11" s="158" customFormat="1" x14ac:dyDescent="0.15">
      <c r="A70" s="161" t="s">
        <v>1160</v>
      </c>
      <c r="K70" s="159"/>
    </row>
    <row r="71" spans="1:11" s="158" customFormat="1" x14ac:dyDescent="0.15">
      <c r="A71" s="161" t="s">
        <v>1161</v>
      </c>
      <c r="K71" s="159"/>
    </row>
    <row r="72" spans="1:11" s="158" customFormat="1" x14ac:dyDescent="0.15">
      <c r="A72" s="161" t="s">
        <v>1162</v>
      </c>
      <c r="K72" s="159"/>
    </row>
    <row r="73" spans="1:11" s="158" customFormat="1" x14ac:dyDescent="0.15">
      <c r="A73" s="160" t="s">
        <v>1163</v>
      </c>
      <c r="K73" s="159"/>
    </row>
    <row r="74" spans="1:11" s="158" customFormat="1" x14ac:dyDescent="0.15">
      <c r="A74" s="160" t="s">
        <v>1164</v>
      </c>
      <c r="K74" s="159"/>
    </row>
    <row r="75" spans="1:11" s="158" customFormat="1" x14ac:dyDescent="0.15">
      <c r="A75" s="160" t="s">
        <v>1165</v>
      </c>
      <c r="K75" s="159"/>
    </row>
    <row r="76" spans="1:11" s="158" customFormat="1" x14ac:dyDescent="0.15">
      <c r="A76" s="160" t="s">
        <v>1166</v>
      </c>
      <c r="K76" s="159"/>
    </row>
    <row r="77" spans="1:11" s="158" customFormat="1" x14ac:dyDescent="0.15">
      <c r="A77" s="160" t="s">
        <v>1167</v>
      </c>
      <c r="K77" s="159"/>
    </row>
    <row r="78" spans="1:11" s="158" customFormat="1" x14ac:dyDescent="0.15">
      <c r="A78" s="160" t="s">
        <v>1168</v>
      </c>
      <c r="K78" s="159"/>
    </row>
    <row r="79" spans="1:11" s="158" customFormat="1" x14ac:dyDescent="0.15">
      <c r="A79" s="160" t="s">
        <v>1169</v>
      </c>
      <c r="K79" s="159"/>
    </row>
    <row r="80" spans="1:11" s="158" customFormat="1" x14ac:dyDescent="0.15">
      <c r="A80" s="160" t="s">
        <v>1170</v>
      </c>
      <c r="K80" s="159"/>
    </row>
    <row r="81" spans="1:11" s="158" customFormat="1" x14ac:dyDescent="0.15">
      <c r="A81" s="160" t="s">
        <v>1171</v>
      </c>
      <c r="K81" s="159"/>
    </row>
    <row r="82" spans="1:11" s="158" customFormat="1" x14ac:dyDescent="0.15">
      <c r="A82" s="157"/>
      <c r="K82" s="159"/>
    </row>
    <row r="83" spans="1:11" s="158" customFormat="1" x14ac:dyDescent="0.15">
      <c r="A83" s="157" t="s">
        <v>1172</v>
      </c>
      <c r="K83" s="159"/>
    </row>
    <row r="84" spans="1:11" s="158" customFormat="1" x14ac:dyDescent="0.15">
      <c r="A84" s="160" t="s">
        <v>1173</v>
      </c>
      <c r="K84" s="159"/>
    </row>
    <row r="85" spans="1:11" s="158" customFormat="1" x14ac:dyDescent="0.15">
      <c r="A85" s="160" t="s">
        <v>1174</v>
      </c>
      <c r="K85" s="159"/>
    </row>
    <row r="86" spans="1:11" s="158" customFormat="1" x14ac:dyDescent="0.15">
      <c r="A86" s="160" t="s">
        <v>1175</v>
      </c>
      <c r="K86" s="159"/>
    </row>
    <row r="87" spans="1:11" s="158" customFormat="1" x14ac:dyDescent="0.15">
      <c r="A87" s="160" t="s">
        <v>1176</v>
      </c>
      <c r="K87" s="159"/>
    </row>
    <row r="88" spans="1:11" s="158" customFormat="1" x14ac:dyDescent="0.15">
      <c r="A88" s="160" t="s">
        <v>1177</v>
      </c>
      <c r="K88" s="159"/>
    </row>
    <row r="89" spans="1:11" s="158" customFormat="1" x14ac:dyDescent="0.15">
      <c r="A89" s="160" t="s">
        <v>1178</v>
      </c>
      <c r="K89" s="159"/>
    </row>
    <row r="90" spans="1:11" s="158" customFormat="1" x14ac:dyDescent="0.15">
      <c r="A90" s="160" t="s">
        <v>1179</v>
      </c>
      <c r="K90" s="159"/>
    </row>
    <row r="91" spans="1:11" s="158" customFormat="1" x14ac:dyDescent="0.15">
      <c r="A91" s="160" t="s">
        <v>1180</v>
      </c>
      <c r="K91" s="159"/>
    </row>
    <row r="92" spans="1:11" s="158" customFormat="1" x14ac:dyDescent="0.15">
      <c r="A92" s="160" t="s">
        <v>1181</v>
      </c>
      <c r="K92" s="159"/>
    </row>
    <row r="93" spans="1:11" s="158" customFormat="1" x14ac:dyDescent="0.15">
      <c r="A93" s="160" t="s">
        <v>1182</v>
      </c>
      <c r="K93" s="159"/>
    </row>
    <row r="94" spans="1:11" s="158" customFormat="1" x14ac:dyDescent="0.15">
      <c r="A94" s="160" t="s">
        <v>1183</v>
      </c>
      <c r="K94" s="159"/>
    </row>
    <row r="95" spans="1:11" s="158" customFormat="1" x14ac:dyDescent="0.15">
      <c r="A95" s="162"/>
      <c r="K95" s="159"/>
    </row>
    <row r="96" spans="1:11" s="158" customFormat="1" x14ac:dyDescent="0.15">
      <c r="A96" s="163" t="s">
        <v>1184</v>
      </c>
      <c r="K96" s="159"/>
    </row>
    <row r="97" spans="1:11" s="158" customFormat="1" x14ac:dyDescent="0.15">
      <c r="A97" s="162"/>
      <c r="K97" s="159"/>
    </row>
    <row r="98" spans="1:11" s="158" customFormat="1" x14ac:dyDescent="0.15">
      <c r="A98" s="157" t="s">
        <v>1185</v>
      </c>
      <c r="K98" s="159"/>
    </row>
    <row r="99" spans="1:11" s="158" customFormat="1" x14ac:dyDescent="0.15">
      <c r="A99" s="160" t="s">
        <v>1186</v>
      </c>
      <c r="K99" s="159"/>
    </row>
    <row r="100" spans="1:11" s="158" customFormat="1" x14ac:dyDescent="0.15">
      <c r="A100" s="160" t="s">
        <v>1187</v>
      </c>
      <c r="K100" s="159"/>
    </row>
    <row r="101" spans="1:11" s="158" customFormat="1" x14ac:dyDescent="0.15">
      <c r="A101" s="160" t="s">
        <v>1188</v>
      </c>
      <c r="K101" s="159"/>
    </row>
    <row r="102" spans="1:11" x14ac:dyDescent="0.15">
      <c r="A102" s="164"/>
    </row>
  </sheetData>
  <mergeCells count="2">
    <mergeCell ref="K2:O2"/>
    <mergeCell ref="P2:T2"/>
  </mergeCells>
  <conditionalFormatting sqref="K4:O54">
    <cfRule type="cellIs" dxfId="1" priority="2" operator="greaterThan">
      <formula>0</formula>
    </cfRule>
  </conditionalFormatting>
  <conditionalFormatting sqref="P4:T54">
    <cfRule type="cellIs" dxfId="0" priority="1" operator="greaterThan">
      <formula>0</formula>
    </cfRule>
  </conditionalFormatting>
  <pageMargins left="0.7" right="0.7" top="0.75" bottom="0.75" header="0.3" footer="0.3"/>
  <drawing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1C7D05C998ABB438FE5D9FE13895E0E" ma:contentTypeVersion="12" ma:contentTypeDescription="Create a new document." ma:contentTypeScope="" ma:versionID="9d9a9f275d12e117694bc5d58360666b">
  <xsd:schema xmlns:xsd="http://www.w3.org/2001/XMLSchema" xmlns:xs="http://www.w3.org/2001/XMLSchema" xmlns:p="http://schemas.microsoft.com/office/2006/metadata/properties" xmlns:ns2="dc078bd3-5b64-400b-8677-89ec237857bd" xmlns:ns3="500f4037-4202-4803-abf6-2017fc06daf9" targetNamespace="http://schemas.microsoft.com/office/2006/metadata/properties" ma:root="true" ma:fieldsID="357aa660acc4270efa855164fc09d6c3" ns2:_="" ns3:_="">
    <xsd:import namespace="dc078bd3-5b64-400b-8677-89ec237857bd"/>
    <xsd:import namespace="500f4037-4202-4803-abf6-2017fc06daf9"/>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c078bd3-5b64-400b-8677-89ec237857b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798d900d-0589-4081-96eb-513de833a507"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00f4037-4202-4803-abf6-2017fc06daf9"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15" nillable="true" ma:displayName="Taxonomy Catch All Column" ma:hidden="true" ma:list="{44787c98-b67f-4320-a5df-1eaf251d8d3c}" ma:internalName="TaxCatchAll" ma:showField="CatchAllData" ma:web="500f4037-4202-4803-abf6-2017fc06daf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500f4037-4202-4803-abf6-2017fc06daf9" xsi:nil="true"/>
    <lcf76f155ced4ddcb4097134ff3c332f xmlns="dc078bd3-5b64-400b-8677-89ec237857bd">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56474C05-5B3B-42D9-A1F5-392EED910D4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c078bd3-5b64-400b-8677-89ec237857bd"/>
    <ds:schemaRef ds:uri="500f4037-4202-4803-abf6-2017fc06daf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2C902D0-C63E-44D3-B225-E17FB6B1640B}">
  <ds:schemaRefs>
    <ds:schemaRef ds:uri="http://schemas.microsoft.com/sharepoint/v3/contenttype/forms"/>
  </ds:schemaRefs>
</ds:datastoreItem>
</file>

<file path=customXml/itemProps3.xml><?xml version="1.0" encoding="utf-8"?>
<ds:datastoreItem xmlns:ds="http://schemas.openxmlformats.org/officeDocument/2006/customXml" ds:itemID="{940DE1B5-F241-4A4A-891E-C09D926D1225}">
  <ds:schemaRefs>
    <ds:schemaRef ds:uri="http://purl.org/dc/dcmitype/"/>
    <ds:schemaRef ds:uri="http://purl.org/dc/terms/"/>
    <ds:schemaRef ds:uri="http://schemas.openxmlformats.org/package/2006/metadata/core-properties"/>
    <ds:schemaRef ds:uri="http://schemas.microsoft.com/office/2006/documentManagement/types"/>
    <ds:schemaRef ds:uri="http://www.w3.org/XML/1998/namespace"/>
    <ds:schemaRef ds:uri="http://schemas.microsoft.com/office/infopath/2007/PartnerControls"/>
    <ds:schemaRef ds:uri="500f4037-4202-4803-abf6-2017fc06daf9"/>
    <ds:schemaRef ds:uri="dc078bd3-5b64-400b-8677-89ec237857bd"/>
    <ds:schemaRef ds:uri="http://schemas.microsoft.com/office/2006/metadata/properties"/>
    <ds:schemaRef ds:uri="http://purl.org/dc/elements/1.1/"/>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17</vt:i4>
      </vt:variant>
      <vt:variant>
        <vt:lpstr>Named Ranges</vt:lpstr>
      </vt:variant>
      <vt:variant>
        <vt:i4>11</vt:i4>
      </vt:variant>
    </vt:vector>
  </HeadingPairs>
  <TitlesOfParts>
    <vt:vector size="28" baseType="lpstr">
      <vt:lpstr>Score Card - Cummulative</vt:lpstr>
      <vt:lpstr>Score Card - Percentage</vt:lpstr>
      <vt:lpstr>Score Card - Graphs</vt:lpstr>
      <vt:lpstr>CoBIT maturity key</vt:lpstr>
      <vt:lpstr>0 - General Questions</vt:lpstr>
      <vt:lpstr>Sheet1</vt:lpstr>
      <vt:lpstr>1 - Mission and Governance</vt:lpstr>
      <vt:lpstr>2.2 - People Matrix</vt:lpstr>
      <vt:lpstr>2.3 - Resource Costing Model</vt:lpstr>
      <vt:lpstr>4.1 - SIEM</vt:lpstr>
      <vt:lpstr>2 - People</vt:lpstr>
      <vt:lpstr>3 - Process</vt:lpstr>
      <vt:lpstr>4 - Technology Functional</vt:lpstr>
      <vt:lpstr>5 - Coverage</vt:lpstr>
      <vt:lpstr>5.2 - SOC covered event sources</vt:lpstr>
      <vt:lpstr>5.3 - Overall Inventory</vt:lpstr>
      <vt:lpstr>Sample Event Scope</vt:lpstr>
      <vt:lpstr>'0 - General Questions'!Print_Area</vt:lpstr>
      <vt:lpstr>'1 - Mission and Governance'!Print_Area</vt:lpstr>
      <vt:lpstr>'2 - People'!Print_Area</vt:lpstr>
      <vt:lpstr>'2.2 - People Matrix'!Print_Area</vt:lpstr>
      <vt:lpstr>'2.3 - Resource Costing Model'!Print_Area</vt:lpstr>
      <vt:lpstr>'3 - Process'!Print_Area</vt:lpstr>
      <vt:lpstr>'4 - Technology Functional'!Print_Area</vt:lpstr>
      <vt:lpstr>'4.1 - SIEM'!Print_Area</vt:lpstr>
      <vt:lpstr>'5 - Coverage'!Print_Area</vt:lpstr>
      <vt:lpstr>'5.2 - SOC covered event sources'!Print_Area</vt:lpstr>
      <vt:lpstr>'5.3 - Overall Inventory'!Print_Area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nessner</dc:creator>
  <cp:keywords/>
  <dc:description/>
  <cp:lastModifiedBy>Aditya Atreya</cp:lastModifiedBy>
  <cp:revision/>
  <dcterms:created xsi:type="dcterms:W3CDTF">2008-03-20T15:11:00Z</dcterms:created>
  <dcterms:modified xsi:type="dcterms:W3CDTF">2025-08-30T18:04:44Z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a60d57e-af5b-4752-ac57-3e4f28ca11dc_Enabled">
    <vt:lpwstr>true</vt:lpwstr>
  </property>
  <property fmtid="{D5CDD505-2E9C-101B-9397-08002B2CF9AE}" pid="3" name="MSIP_Label_ea60d57e-af5b-4752-ac57-3e4f28ca11dc_SetDate">
    <vt:lpwstr>2023-06-08T04:05:54Z</vt:lpwstr>
  </property>
  <property fmtid="{D5CDD505-2E9C-101B-9397-08002B2CF9AE}" pid="4" name="MSIP_Label_ea60d57e-af5b-4752-ac57-3e4f28ca11dc_Method">
    <vt:lpwstr>Standard</vt:lpwstr>
  </property>
  <property fmtid="{D5CDD505-2E9C-101B-9397-08002B2CF9AE}" pid="5" name="MSIP_Label_ea60d57e-af5b-4752-ac57-3e4f28ca11dc_Name">
    <vt:lpwstr>ea60d57e-af5b-4752-ac57-3e4f28ca11dc</vt:lpwstr>
  </property>
  <property fmtid="{D5CDD505-2E9C-101B-9397-08002B2CF9AE}" pid="6" name="MSIP_Label_ea60d57e-af5b-4752-ac57-3e4f28ca11dc_SiteId">
    <vt:lpwstr>36da45f1-dd2c-4d1f-af13-5abe46b99921</vt:lpwstr>
  </property>
  <property fmtid="{D5CDD505-2E9C-101B-9397-08002B2CF9AE}" pid="7" name="MSIP_Label_ea60d57e-af5b-4752-ac57-3e4f28ca11dc_ActionId">
    <vt:lpwstr>a4a0aaf2-527d-4c01-9182-772221a3c357</vt:lpwstr>
  </property>
  <property fmtid="{D5CDD505-2E9C-101B-9397-08002B2CF9AE}" pid="8" name="MSIP_Label_ea60d57e-af5b-4752-ac57-3e4f28ca11dc_ContentBits">
    <vt:lpwstr>0</vt:lpwstr>
  </property>
  <property fmtid="{D5CDD505-2E9C-101B-9397-08002B2CF9AE}" pid="9" name="ContentTypeId">
    <vt:lpwstr>0x010100A1C7D05C998ABB438FE5D9FE13895E0E</vt:lpwstr>
  </property>
  <property fmtid="{D5CDD505-2E9C-101B-9397-08002B2CF9AE}" pid="10" name="MediaServiceImageTags">
    <vt:lpwstr/>
  </property>
</Properties>
</file>