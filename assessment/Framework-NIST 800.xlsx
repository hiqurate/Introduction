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filterPrivacy="1" updateLinks="never" codeName="ThisWorkbook" defaultThemeVersion="124226"/>
  <xr:revisionPtr revIDLastSave="0" documentId="13_ncr:1_{3C2F6CDE-5745-AA4A-AC01-FB2EBF3F5D3F}" xr6:coauthVersionLast="47" xr6:coauthVersionMax="47" xr10:uidLastSave="{00000000-0000-0000-0000-000000000000}"/>
  <bookViews>
    <workbookView xWindow="20" yWindow="760" windowWidth="29400" windowHeight="17400" tabRatio="814" activeTab="2" xr2:uid="{00000000-000D-0000-FFFF-FFFF00000000}"/>
  </bookViews>
  <sheets>
    <sheet name="Introduction" sheetId="17" r:id="rId1"/>
    <sheet name="CSF Tiers" sheetId="14" state="hidden" r:id="rId2"/>
    <sheet name="SUMMARY-All Categories" sheetId="13" r:id="rId3"/>
    <sheet name="1-PREPARATION (PR)" sheetId="4" r:id="rId4"/>
    <sheet name="2-DETECTION &amp; ANALYSIS (DA)" sheetId="5" r:id="rId5"/>
    <sheet name="3-C,E &amp; R (CER)" sheetId="6" r:id="rId6"/>
    <sheet name="4-POST INCIDENT ACTIVITY (PIA)" sheetId="9" r:id="rId7"/>
    <sheet name="CSF Core" sheetId="21" state="hidden" r:id="rId8"/>
    <sheet name="Gaps" sheetId="3" r:id="rId9"/>
    <sheet name="Recommendations" sheetId="11" r:id="rId10"/>
  </sheets>
  <definedNames>
    <definedName name="_GoBack" localSheetId="6">'4-POST INCIDENT ACTIVITY (PIA)'!#REF!</definedName>
    <definedName name="Access_Control__PR.AC___Access_to_assets_and_associated_facilities_is_limited_to_authorized_users__processes__or_devices__and_to_authorized_activities_and_transactions.">'CSF Core'!$B$85</definedName>
    <definedName name="Access_Control__PR.AC__Total">'2-DETECTION &amp; ANALYSIS (DA)'!$A$6</definedName>
    <definedName name="Analysis__RS.AN__Total">'4-POST INCIDENT ACTIVITY (PIA)'!$A$14</definedName>
    <definedName name="Anomalies_and_Events__DE.AE__Total">'3-C,E &amp; R (CER)'!$A$6</definedName>
    <definedName name="Asset_Management__ID.AM__Total">'1-PREPARATION (PR)'!$A$6</definedName>
    <definedName name="Awareness_and_Training__PR.AT__Total">'2-DETECTION &amp; ANALYSIS (DA)'!$A$15</definedName>
    <definedName name="Business_Environment__ID.BE__Total">'1-PREPARATION (PR)'!$A$13</definedName>
    <definedName name="Communications__RC.CO___Restoration_activities_are_coordinated_with_internal_and_external_parties__such_as_coordinating_centers__Internet_Service_Providers__owners_of_attacking_systems__victims__other_CSIRTs__and_vendors.">'CSF Core'!$B$356</definedName>
    <definedName name="Communications__RC.CO__Total">#REF!</definedName>
    <definedName name="Communications__RS.CO__Total">'4-POST INCIDENT ACTIVITY (PIA)'!$A$9</definedName>
    <definedName name="Data_Security__PR.DS__Total">'2-DETECTION &amp; ANALYSIS (DA)'!$A$18</definedName>
    <definedName name="DE.AE_1__A_baseline_of_network_operations_and_expected_data_flows_for_users_and_systems_is_established_and_managed">'CSF Core'!$C$240</definedName>
    <definedName name="DE.AE_2__Detected_events_are_analyzed_to_understand_attack_targets_and_methods">'CSF Core'!$C$243</definedName>
    <definedName name="DE.AE_3__Event_data_are_aggregated_and_correlated_from_multiple_sources_and_sensors">'CSF Core'!$C$247</definedName>
    <definedName name="DE.AE_4__Impact_of_events_is_determined">'CSF Core'!$C$249</definedName>
    <definedName name="DE.AE_5__Incident_alert_thresholds_are_established">'CSF Core'!$C$251</definedName>
    <definedName name="DE.CM_1__The_network_is_monitored_to_detect_potential_cybersecurity_events">'CSF Core'!$C$254</definedName>
    <definedName name="DE.CM_2__The_physical_environment_is_monitored_to_detect_potential_cybersecurity_events">'CSF Core'!$C$258</definedName>
    <definedName name="DE.CM_3__Personnel_activity_is_monitored_to_detect_potential_cybersecurity_events">'CSF Core'!$C$260</definedName>
    <definedName name="DE.CM_4__Malicious_code_is_detected">'CSF Core'!$C$263</definedName>
    <definedName name="DE.CM_5__Unauthorized_mobile_code_is_detected">'CSF Core'!$C$269</definedName>
    <definedName name="DE.CM_6__External_service_provider_activity_is_monitored_to_detect_potential_cybersecurity_events">'CSF Core'!$C$272</definedName>
    <definedName name="DE.CM_7__Monitoring_for_unauthorized_personnel__connections__devices__and_software_is_performed">'CSF Core'!$C$275</definedName>
    <definedName name="DE.CM_8__Vulnerability_scans_are_performed">'CSF Core'!$C$276</definedName>
    <definedName name="DE.DP_1__Roles_and_responsibilities_for_detection_are_well_defined_to_ensure_accountability">'CSF Core'!$C$280</definedName>
    <definedName name="DE.DP_2__Detection_activities_comply_with_all_applicable_requirements">'CSF Core'!$C$285</definedName>
    <definedName name="DE.DP_3__Detection_processes_are_tested">'CSF Core'!$C$288</definedName>
    <definedName name="DE.DP_4__Event_detection_information_is_communicated_to_appropriate_parties">'CSF Core'!$C$293</definedName>
    <definedName name="DE.DP_5__Detection_processes_are_continuously_improved">'CSF Core'!$C$298</definedName>
    <definedName name="Detection_Processes__DE.DP__Total">'3-C,E &amp; R (CER)'!$A$12</definedName>
    <definedName name="Governance__ID.GV__Total">'1-PREPARATION (PR)'!#REF!</definedName>
    <definedName name="ID.BE_3">'CSF Core'!$C$36</definedName>
    <definedName name="ID.BE_3__Priorities_for_organizational_mission__objectives__and_activities_are_established_and_communicated">'CSF Core'!$C$36</definedName>
    <definedName name="ID.BE_4__Dependencies_and_critical_functions_for_delivery_of_critical_services_are_established">'CSF Core'!$C$39</definedName>
    <definedName name="ID.BE_5__Resilience_requirements_to_support_delivery_of_critical_services_are_established">'CSF Core'!$C$41</definedName>
    <definedName name="ID.GV_1__Organizational_information_security_policy_is_established">'CSF Core'!$C$44</definedName>
    <definedName name="ID.GV_2__Information_security_roles___responsibilities_are_coordinated_and_aligned_with_internal_roles_and_external_partners">'CSF Core'!$C$48</definedName>
    <definedName name="ID.GV_3__Legal_and_regulatory_requirements_regarding_cybersecurity__including_privacy_and_civil_liberties_obligations__are_understood_and_managed">'CSF Core'!$C$52</definedName>
    <definedName name="ID.GV_4__Governance_and_risk_management_processes_address_cybersecurity_risks">'CSF Core'!$C$56</definedName>
    <definedName name="ID.RA_1__Asset_vulnerabilities_are_identified_and_documented">'CSF Core'!$C$59</definedName>
    <definedName name="ID.RA_2__Threat_and_vulnerability_information_is_received_from_information_sharing_forums_and_sources">'CSF Core'!$C$64</definedName>
    <definedName name="ID.RA_3__Threats__both_internal_and_external__are_identified_and_documented">'CSF Core'!$C$67</definedName>
    <definedName name="ID.RA_4__Potential_business_impacts_and_likelihoods_are_identified">'CSF Core'!$C$70</definedName>
    <definedName name="ID.RA_5__Threats__vulnerabilities__likelihoods__and_impacts_are_used_to_determine_risk">'CSF Core'!$C$73</definedName>
    <definedName name="ID.RA_6__Risk_responses_are_identified_and_prioritized">'CSF Core'!$C$76</definedName>
    <definedName name="ID.RM_1__Risk_management_processes_are_established__managed__and_agreed_to_by_organizational_stakeholders">'CSF Core'!$C$78</definedName>
    <definedName name="ID.RM_2__Organizational_risk_tolerance_is_determined_and_clearly_expressed">'CSF Core'!$C$81</definedName>
    <definedName name="ID.RM_3__The_organization’s_determination_of_risk_tolerance_is_informed_by_its_role_in_critical_infrastructure_and_sector_specific_risk_analysis">'CSF Core'!$C$84</definedName>
    <definedName name="Improvements__RC.IM__Total">#REF!</definedName>
    <definedName name="Improvements__RS.IM__Total">'4-POST INCIDENT ACTIVITY (PIA)'!#REF!</definedName>
    <definedName name="Information_Protection_Processes_and_Procedures__PR.IP__Total">'2-DETECTION &amp; ANALYSIS (DA)'!$A$29</definedName>
    <definedName name="Maintenance__PR.MA__Total">'2-DETECTION &amp; ANALYSIS (DA)'!$A$40</definedName>
    <definedName name="Mitigation__RS.MI__Total">'4-POST INCIDENT ACTIVITY (PIA)'!#REF!</definedName>
    <definedName name="PR.AC_1__Identities_and_credentials_are_managed_for_authorized_devices_and_users">'CSF Core'!$C$85</definedName>
    <definedName name="PR.AC_2__Physical_access_to_assets_is_managed_and_protected">'CSF Core'!$C$91</definedName>
    <definedName name="PR.AC_3__Remote_access_is_managed">'CSF Core'!$C$95</definedName>
    <definedName name="PR.AC_4__Access_permissions_are_managed__incorporating_the_principles_of_least_privilege_and_separation_of_duties">'CSF Core'!$C$100</definedName>
    <definedName name="PR.AC_5__Network_integrity_is_protected__incorporating_network_segregation_where_appropriate">'CSF Core'!$C$105</definedName>
    <definedName name="PR.AT_1__All_users_are_informed_and_trained">'CSF Core'!$C$109</definedName>
    <definedName name="PR.AT_2__Privileged_users_understand_roles___responsibilities">'CSF Core'!$C$114</definedName>
    <definedName name="PR.AT_3__Third_party_stakeholders__e.g.__suppliers__customers__partners__understand_roles___responsibilities">'CSF Core'!$C$119</definedName>
    <definedName name="PR.AT_4__Senior_executives_understand_roles___responsibilities">'CSF Core'!$C$124</definedName>
    <definedName name="PR.AT_5__Physical_and_information_security_personnel_understand_roles___responsibilities">'CSF Core'!$C$129</definedName>
    <definedName name="PR.DS_1__Data_at_rest_is_protected">'CSF Core'!$C$134</definedName>
    <definedName name="PR.DS_2__Data_in_transit_is_protected">'CSF Core'!$C$139</definedName>
    <definedName name="PR.DS_3__Assets_are_formally_managed_throughout_removal__transfers__and_disposition">'CSF Core'!$C$144</definedName>
    <definedName name="PR.DS_4__Adequate_capacity_to_ensure_availability_is_maintained">'CSF Core'!$C$149</definedName>
    <definedName name="PR.DS_5__Protections_against_data_leaks_are_implemented">'CSF Core'!$C$153</definedName>
    <definedName name="PR.DS_6__Integrity_checking_mechanisms_are_used_to_verify_software__firmware__and_information_integrity">'CSF Core'!$C$158</definedName>
    <definedName name="PR.DS_7__The_development_and_testing_environment_s__are_separate_from_the_production_environment">'CSF Core'!$C$161</definedName>
    <definedName name="PR.IP_1__A_baseline_configuration_of_information_technology_industrial_control_systems_is_created_and_maintained">'CSF Core'!$C$164</definedName>
    <definedName name="PR.IP_10__Response_and_recovery_plans_are_tested">'CSF Core'!$C$202</definedName>
    <definedName name="PR.IP_11__Cybersecurity_is_included_in_human_resources_practices__e.g.__deprovisioning__personnel_screening">'CSF Core'!$C$206</definedName>
    <definedName name="PR.IP_12__A_vulnerability_management_plan_is_developed_and_implemented">'CSF Core'!$C$210</definedName>
    <definedName name="PR.IP_2__A_System_Development_Life_Cycle_to_manage_systems_is_implemented">'CSF Core'!$C$170</definedName>
    <definedName name="PR.IP_3__Configuration_change_control_processes_are_in_place">'CSF Core'!$C$174</definedName>
    <definedName name="PR.IP_4__Backups_of_information_are_conducted__maintained__and_tested_periodically">'CSF Core'!$C$179</definedName>
    <definedName name="PR.IP_5__Policy_and_regulations_regarding_the_physical_operating_environment_for_organizational_assets_are_met">'CSF Core'!$C$184</definedName>
    <definedName name="PR.IP_6__Data_is_destroyed_according_to_policy">'CSF Core'!$C$188</definedName>
    <definedName name="PR.IP_7__Protection_processes_are_continuously_improved">'CSF Core'!$C$193</definedName>
    <definedName name="PR.IP_8__Effectiveness_of_protection_technologies_is_shared_with_appropriate_parties">'CSF Core'!$C$196</definedName>
    <definedName name="PR.IP_9__Response_plans__Incident_Response_and_Business_Continuity__and_recovery_plans__Incident_Recovery_and_Disaster_Recovery__are_in_place_and_managed">'CSF Core'!$C$198</definedName>
    <definedName name="PR.MA_1__Maintenance_and_repair_of_organizational_assets_is_performed_and_logged_in_a_timely_manner__with_approved_and_controlled_tools">'CSF Core'!$C$212</definedName>
    <definedName name="PR.MA_2__Remote_maintenance_of_organizational_assets_is_approved__logged__and_performed_in_a_manner_that_prevents_unauthorized_access">'CSF Core'!$C$216</definedName>
    <definedName name="PR.PT_1__Audit_log_records_are_determined__documented__implemented__and_reviewed_in_accordance_with_policy">'CSF Core'!$C$220</definedName>
    <definedName name="PR.PT_2__Removable_media_is_protected_and_its_use_restricted_according_to_policy">'CSF Core'!$C$226</definedName>
    <definedName name="PR.PT_3__Access_to_systems_and_assets_is_controlled__incorporating_the_principle_of_least_functionality">'CSF Core'!$C$230</definedName>
    <definedName name="PR.PT_4__Communications_and_control_networks_are_protected">'CSF Core'!$C$235</definedName>
    <definedName name="_xlnm.Print_Area" localSheetId="6">'4-POST INCIDENT ACTIVITY (PIA)'!$A$6:$E$17</definedName>
    <definedName name="_xlnm.Print_Titles" localSheetId="4">'2-DETECTION &amp; ANALYSIS (DA)'!#REF!</definedName>
    <definedName name="_xlnm.Print_Titles" localSheetId="5">'3-C,E &amp; R (CER)'!#REF!</definedName>
    <definedName name="_xlnm.Print_Titles" localSheetId="6">'4-POST INCIDENT ACTIVITY (PIA)'!$5:$5</definedName>
    <definedName name="Protective_Technology__PR.PT__Total">'2-DETECTION &amp; ANALYSIS (DA)'!$A$52</definedName>
    <definedName name="rc.co_1">'CSF Core'!$C$356</definedName>
    <definedName name="RC.CO_1__Public_relations_are_managed">'CSF Core'!$C$356</definedName>
    <definedName name="rc.co_2">'CSF Core'!$C$357</definedName>
    <definedName name="RC.CO_2__Reputation_after_an_event_is_repaired">'CSF Core'!$C$357</definedName>
    <definedName name="rc.co_3">'CSF Core'!$C$358</definedName>
    <definedName name="RC.CO_3__Recovery_activities_are_communicated_to_internal_stakeholders_and_executive_and_management_teams">'CSF Core'!$C$358</definedName>
    <definedName name="rc.im_1">'CSF Core'!$C$351</definedName>
    <definedName name="RC.IM_1__Recovery_plans_incorporate_lessons_learned">'CSF Core'!$C$351</definedName>
    <definedName name="rc.im_2">'CSF Core'!$C$354</definedName>
    <definedName name="RC.IM_2__Recovery_strategies_are_updated">'CSF Core'!$C$354</definedName>
    <definedName name="RC.RP_1__Recovery_plan_is_executed_during_or_after_an_event">'CSF Core'!$C$347</definedName>
    <definedName name="Recovery_Planning__RC.RP__Total">#REF!</definedName>
    <definedName name="Response_Planning__RS.RP__Total">'4-POST INCIDENT ACTIVITY (PIA)'!$A$6</definedName>
    <definedName name="Risk_Assessment__ID.RA__Total">'1-PREPARATION (PR)'!#REF!</definedName>
    <definedName name="Risk_Management_Strategy__ID.RM__Total">'1-PREPARATION (PR)'!#REF!</definedName>
    <definedName name="RS.AN_1__Notifications_from_detection_systems_are_investigated">'CSF Core'!$C$319</definedName>
    <definedName name="RS.AN_2__The_impact_of_the_incident_is_understood">'CSF Core'!$C$324</definedName>
    <definedName name="RS.AN_3__Forensics_are_performed">'CSF Core'!$C$327</definedName>
    <definedName name="RS.AN_4__Incidents_are_categorized_consistent_with_response_plans">'CSF Core'!$C$330</definedName>
    <definedName name="RS.CO_1__Personnel_know_their_roles_and_order_of_operations_when_a_response_is_needed">'CSF Core'!$C$307</definedName>
    <definedName name="RS.CO_2__Events_are_reported_consistent_with_established_criteria">'CSF Core'!$C$310</definedName>
    <definedName name="RS.CO_3__Information_is_shared_consistent_with_response_plans">'CSF Core'!$C$313</definedName>
    <definedName name="RS.CO_4__Coordination_with_stakeholders_occurs_consistent_with_response_plans">'CSF Core'!$C$316</definedName>
    <definedName name="RS.CO_5__Voluntary_information_sharing_occurs_with_external_stakeholders_to_achieve_broader_cybersecurity_situational_awareness">'CSF Core'!$C$318</definedName>
    <definedName name="RS.IM_1__Response_plans_incorporate_lessons_learned">'CSF Core'!$C$342</definedName>
    <definedName name="RS.IM_2__Response_strategies_are_updated">'CSF Core'!$C$346</definedName>
    <definedName name="RS.MI_1__Incidents_are_contained">'CSF Core'!$C$333</definedName>
    <definedName name="RS.MI_2__Incidents_are_mitigated">'CSF Core'!$C$337</definedName>
    <definedName name="RS.MI_3__Newly_identified_vulnerabilities_are_mitigated_or_documented_as_accepted_risks">'CSF Core'!$C$340</definedName>
    <definedName name="RS.RP_1__Response_plan_is_executed_during_or_after_an_event">'CSF Core'!$C$302</definedName>
    <definedName name="Security_Continuous_Monitoring__DE.CM__Total">'3-C,E &amp; R (CER)'!$A$9</definedName>
    <definedName name="ValidEval">#REF!</definedName>
    <definedName name="ValidWeigh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7" i="13" l="1"/>
  <c r="I67" i="13"/>
  <c r="H67" i="13"/>
  <c r="G67" i="13"/>
  <c r="F67" i="13"/>
  <c r="E67" i="13"/>
  <c r="C67" i="13"/>
  <c r="E54" i="5"/>
  <c r="F14" i="9"/>
  <c r="E14" i="9"/>
  <c r="G14" i="9" s="1"/>
  <c r="G8" i="9"/>
  <c r="G19" i="6"/>
  <c r="G18" i="6"/>
  <c r="E17" i="6"/>
  <c r="G17" i="6" s="1"/>
  <c r="G55" i="5"/>
  <c r="G42" i="5"/>
  <c r="G43" i="5"/>
  <c r="G44" i="5"/>
  <c r="G45" i="5"/>
  <c r="G46" i="5"/>
  <c r="G47" i="5"/>
  <c r="G48" i="5"/>
  <c r="G49" i="5"/>
  <c r="G50" i="5"/>
  <c r="G51" i="5"/>
  <c r="G27" i="5"/>
  <c r="G26" i="5"/>
  <c r="G28" i="5"/>
  <c r="G13" i="5"/>
  <c r="G11" i="5"/>
  <c r="G12" i="5"/>
  <c r="D5" i="13" l="1"/>
  <c r="D6" i="13"/>
  <c r="D7" i="13"/>
  <c r="E13" i="4"/>
  <c r="C29" i="13" s="1"/>
  <c r="G16" i="9" l="1"/>
  <c r="G15" i="9"/>
  <c r="G11" i="9"/>
  <c r="G12" i="9"/>
  <c r="G13" i="9"/>
  <c r="G10" i="9"/>
  <c r="G7" i="9"/>
  <c r="E15" i="5"/>
  <c r="E9" i="6"/>
  <c r="C40" i="13" s="1"/>
  <c r="E12" i="6"/>
  <c r="C41" i="13" s="1"/>
  <c r="C34" i="13" l="1"/>
  <c r="C31" i="13"/>
  <c r="G15" i="6"/>
  <c r="G14" i="6"/>
  <c r="G11" i="6"/>
  <c r="G16" i="6"/>
  <c r="G13" i="6"/>
  <c r="G10" i="6"/>
  <c r="G7" i="6"/>
  <c r="G8" i="6"/>
  <c r="G12" i="6"/>
  <c r="D41" i="13" s="1"/>
  <c r="G32" i="5"/>
  <c r="G33" i="5"/>
  <c r="G34" i="5"/>
  <c r="G35" i="5"/>
  <c r="G36" i="5"/>
  <c r="G37" i="5"/>
  <c r="G38" i="5"/>
  <c r="G39" i="5"/>
  <c r="E40" i="5"/>
  <c r="C37" i="13" s="1"/>
  <c r="E52" i="5"/>
  <c r="C38" i="13" s="1"/>
  <c r="E29" i="5"/>
  <c r="C36" i="13" s="1"/>
  <c r="E18" i="5"/>
  <c r="G22" i="5"/>
  <c r="G21" i="5"/>
  <c r="G20" i="5"/>
  <c r="E6" i="5"/>
  <c r="C32" i="13" l="1"/>
  <c r="C35" i="13"/>
  <c r="C30" i="13"/>
  <c r="C33" i="13"/>
  <c r="F9" i="9"/>
  <c r="G17" i="4"/>
  <c r="G16" i="5"/>
  <c r="G17" i="5"/>
  <c r="G19" i="5"/>
  <c r="G23" i="5"/>
  <c r="G24" i="5"/>
  <c r="G25" i="5"/>
  <c r="G30" i="5"/>
  <c r="G31" i="5"/>
  <c r="G41" i="5"/>
  <c r="G53" i="5"/>
  <c r="G7" i="5"/>
  <c r="G9" i="5"/>
  <c r="G10" i="5"/>
  <c r="G14" i="5"/>
  <c r="G8" i="5"/>
  <c r="G15" i="4" l="1"/>
  <c r="G16" i="4"/>
  <c r="G18" i="4"/>
  <c r="G14" i="4"/>
  <c r="G9" i="4"/>
  <c r="G10" i="4"/>
  <c r="G11" i="4"/>
  <c r="G8" i="4"/>
  <c r="G12" i="4"/>
  <c r="G7" i="4"/>
  <c r="G52" i="5"/>
  <c r="D38" i="13" s="1"/>
  <c r="G40" i="5" l="1"/>
  <c r="D37" i="13" s="1"/>
  <c r="G29" i="5" l="1"/>
  <c r="D36" i="13" s="1"/>
  <c r="E9" i="9"/>
  <c r="C43" i="13" s="1"/>
  <c r="E6" i="9"/>
  <c r="C42" i="13" s="1"/>
  <c r="E6" i="6"/>
  <c r="C39" i="13" s="1"/>
  <c r="G15" i="5"/>
  <c r="G6" i="5"/>
  <c r="E6" i="4"/>
  <c r="E5" i="4" l="1"/>
  <c r="C5" i="13" s="1"/>
  <c r="C28" i="13"/>
  <c r="D34" i="13"/>
  <c r="D31" i="13"/>
  <c r="D30" i="13"/>
  <c r="D33" i="13"/>
  <c r="G6" i="6"/>
  <c r="D39" i="13" s="1"/>
  <c r="G6" i="4"/>
  <c r="D28" i="13" s="1"/>
  <c r="E5" i="6"/>
  <c r="C7" i="13" s="1"/>
  <c r="G18" i="5"/>
  <c r="E5" i="9"/>
  <c r="C8" i="13" s="1"/>
  <c r="F6" i="9"/>
  <c r="G9" i="6"/>
  <c r="D40" i="13" s="1"/>
  <c r="G13" i="4"/>
  <c r="D29" i="13" s="1"/>
  <c r="D32" i="13" l="1"/>
  <c r="D35" i="13"/>
  <c r="E5" i="5"/>
  <c r="C6" i="13" s="1"/>
  <c r="F5" i="9"/>
  <c r="D8" i="13" s="1"/>
  <c r="G9" i="9"/>
  <c r="D43" i="13" s="1"/>
  <c r="G6" i="9"/>
  <c r="D42" i="13" s="1"/>
  <c r="G5" i="6" l="1"/>
  <c r="E7" i="13" s="1"/>
  <c r="G5" i="5"/>
  <c r="E6" i="13" s="1"/>
  <c r="G5" i="4"/>
  <c r="E5" i="13" s="1"/>
  <c r="G5" i="9" l="1"/>
  <c r="E8" i="13" s="1"/>
</calcChain>
</file>

<file path=xl/sharedStrings.xml><?xml version="1.0" encoding="utf-8"?>
<sst xmlns="http://schemas.openxmlformats.org/spreadsheetml/2006/main" count="728" uniqueCount="609">
  <si>
    <t>Category</t>
  </si>
  <si>
    <t>Questionnaire</t>
  </si>
  <si>
    <t>% of Current / Target</t>
  </si>
  <si>
    <t>Percentage Met</t>
  </si>
  <si>
    <t>Description</t>
  </si>
  <si>
    <t>Value</t>
  </si>
  <si>
    <t>Metric</t>
  </si>
  <si>
    <t>Level 0 - Does not exist</t>
  </si>
  <si>
    <t>Gap Assessment</t>
  </si>
  <si>
    <t>Stakeholders Interviewed 
(Name, Title)</t>
  </si>
  <si>
    <t>Select the appropriate rating for each question</t>
  </si>
  <si>
    <t>PROTECT (PR)</t>
  </si>
  <si>
    <t>DETECT (DE)</t>
  </si>
  <si>
    <t>RESPOND (RS)</t>
  </si>
  <si>
    <t>RECOVER (RC)</t>
  </si>
  <si>
    <t>Function</t>
  </si>
  <si>
    <t>Subcategory</t>
  </si>
  <si>
    <t>Informative References</t>
  </si>
  <si>
    <t>COBIT 5</t>
  </si>
  <si>
    <t>The process is not implemented or fails to achieve its purpose.</t>
  </si>
  <si>
    <t>Source: NIST Cybersecurity Framework
 Executive Order 13636</t>
  </si>
  <si>
    <t>Current Process Score</t>
  </si>
  <si>
    <t>Target Process Score</t>
  </si>
  <si>
    <t>Does Not Exist = 0</t>
  </si>
  <si>
    <t>Predictable=4</t>
  </si>
  <si>
    <t>Established=3</t>
  </si>
  <si>
    <t>Managed=2</t>
  </si>
  <si>
    <t>Performed=1</t>
  </si>
  <si>
    <t>Client's Summary</t>
  </si>
  <si>
    <t>Level 1 - Partial</t>
  </si>
  <si>
    <t>• Risk Management Process – Organizational cybersecurity risk management practices are not formalized, and risk is managed in an ad hoc and sometimes reactive manner. Prioritization of cybersecurity activities may not be directly informed by organizational risk objectives, the threat environment, or business/mission requirements.
• Integrated Risk Management Program – There is limited awareness of cybersecurity risk at the organizational level and an organization-wide approach to managing cybersecurity risk has not been established. The organization implements cybersecurity risk management on an irregular, case-by-case basis due to varied experience or information gained from outside sources. The organization may not have processes that enable cybersecurity information to be shared within the organization.
• External Participation – An organization may not have the processes in place to
participate in coordination or collaboration with other entities.</t>
  </si>
  <si>
    <t>Level 2 - Risk Informed</t>
  </si>
  <si>
    <t>• Risk Management Process – Risk management practices are approved by management but may not be established as organizational-wide policy. Prioritization of cybersecurity activities is directly informed by organizational risk objectives, the threat environment, or business/mission requirements.
• Integrated Risk Management Program – There is an awareness of cybersecurity risk at the organizational level but an organization-wide approach to managing cybersecurity risk has not been established. Risk-informed, management-approved processes and procedures are defined and implemented, and staff has adequate resources to perform their cybersecurity duties. Cybersecurity information is shared within the organization on an informal basis.
• External Participation – The organization knows its role in the larger ecosystem, but has not formalized its capabilities to interact and share information externally.</t>
  </si>
  <si>
    <t>• Risk Management Process – The organization’s risk management practices are formally approved and expressed as policy. Organizational cybersecurity practices are regularly updated based on the application of risk management processes to changes in business/mission requirements and a changing threat and technology landscape.
• Integrated Risk Management Program – There is an organization-wide approach to manage cybersecurity risk. Risk-informed policies, processes, and procedures are defined, implemented as intended, and reviewed. Consistent methods are in place to respond effectively to changes in risk. Personnel possess the knowledge and skills to perform their appointed roles and responsibilities.
• External Participation – The organization understands its dependencies and partners and receives information from these partners that enables collaboration and risk-based management decisions within the organization in response to events.</t>
  </si>
  <si>
    <t>Level 3 - Repeatable</t>
  </si>
  <si>
    <t>• Risk Management Process – The organization adapts its cybersecurity practices based on lessons learned and predictive indicators derived from previous and current cybersecurity activities. Through a process of continuous improvement incorporating advanced cybersecurity technologies and practices, the organization actively adapts to a changing cybersecurity landscape and responds to evolving and sophisticated threats in a timely manner.
• Integrated Risk Management Program – There is an organization-wide approach to managing cybersecurity risk that uses risk-informed policies, processes, and procedures to address potential cybersecurity events. Cybersecurity risk management is part of the organizational culture and evolves from an awareness of previous activities, information shared by other sources, and continuous awareness of activities on their systems and networks.
• External Participation – The organization manages risk and actively shares information with partners to ensure that accurate, current information is being distributed and consumed to improve cybersecurity before a cybersecurity event occurs.</t>
  </si>
  <si>
    <t>Level 4 - Adaptive</t>
  </si>
  <si>
    <t>Review the following categories in order to assess the cyber security program. 
L0 (Does Not Exist), L1 (Partial), L2 (Risk Informed), L3 (Repeatable), L4 (Adaptive)</t>
  </si>
  <si>
    <t>Physical devices and systems within the organization are inventoried</t>
  </si>
  <si>
    <t>Software platforms and applications within the organization are inventoried</t>
  </si>
  <si>
    <t>Cyber Security Tiers</t>
  </si>
  <si>
    <t>Current Program</t>
  </si>
  <si>
    <t>Target Program</t>
  </si>
  <si>
    <t>Client Cyber Security Assessment - SUMMARY SCORES</t>
  </si>
  <si>
    <t>Cyber Security Assessment Category</t>
  </si>
  <si>
    <t>Perfect Program</t>
  </si>
  <si>
    <t>NIST Cyber Security Framework Implementation Tiers</t>
  </si>
  <si>
    <t>Cyber Security Recommendations</t>
  </si>
  <si>
    <t>Cyber Security Assessment Controls</t>
  </si>
  <si>
    <t>1 - Preparation (PR)</t>
  </si>
  <si>
    <r>
      <t xml:space="preserve">Asset Management (ID.AM): </t>
    </r>
    <r>
      <rPr>
        <sz val="9"/>
        <color theme="1"/>
        <rFont val="Times New Roman"/>
        <family val="1"/>
      </rPr>
      <t>The data, personnel, devices, systems, and facilities that enable the organization to achieve business purposes are identified and managed consistent with their relative importance to business objectives and the organization’s risk strategy.</t>
    </r>
  </si>
  <si>
    <r>
      <t>ID.AM-1</t>
    </r>
    <r>
      <rPr>
        <sz val="9"/>
        <color rgb="FF000000"/>
        <rFont val="Times New Roman"/>
        <family val="1"/>
      </rPr>
      <t>: Physical devices and systems within the organization are inventoried</t>
    </r>
  </si>
  <si>
    <r>
      <t xml:space="preserve">·       </t>
    </r>
    <r>
      <rPr>
        <b/>
        <sz val="9"/>
        <color theme="1"/>
        <rFont val="Times New Roman"/>
        <family val="1"/>
      </rPr>
      <t xml:space="preserve">CCS CSC </t>
    </r>
    <r>
      <rPr>
        <sz val="9"/>
        <color theme="1"/>
        <rFont val="Times New Roman"/>
        <family val="1"/>
      </rPr>
      <t>1</t>
    </r>
  </si>
  <si>
    <r>
      <t xml:space="preserve">·       </t>
    </r>
    <r>
      <rPr>
        <b/>
        <sz val="9"/>
        <color theme="1"/>
        <rFont val="Times New Roman"/>
        <family val="1"/>
      </rPr>
      <t xml:space="preserve">COBIT 5 </t>
    </r>
    <r>
      <rPr>
        <sz val="9"/>
        <color theme="1"/>
        <rFont val="Times New Roman"/>
        <family val="1"/>
      </rPr>
      <t>BAI09.01, BAI09.02</t>
    </r>
  </si>
  <si>
    <r>
      <t xml:space="preserve">·       </t>
    </r>
    <r>
      <rPr>
        <b/>
        <sz val="9"/>
        <color theme="1"/>
        <rFont val="Times New Roman"/>
        <family val="1"/>
      </rPr>
      <t xml:space="preserve">ISA 62443-2-1:2009 </t>
    </r>
    <r>
      <rPr>
        <sz val="9"/>
        <color theme="1"/>
        <rFont val="Times New Roman"/>
        <family val="1"/>
      </rPr>
      <t>4.2.3.4</t>
    </r>
  </si>
  <si>
    <r>
      <t xml:space="preserve">·       </t>
    </r>
    <r>
      <rPr>
        <b/>
        <sz val="9"/>
        <color theme="1"/>
        <rFont val="Times New Roman"/>
        <family val="1"/>
      </rPr>
      <t>ISA 62443-3-3:2013</t>
    </r>
    <r>
      <rPr>
        <sz val="9"/>
        <color theme="1"/>
        <rFont val="Times New Roman"/>
        <family val="1"/>
      </rPr>
      <t xml:space="preserve"> SR 7.8</t>
    </r>
  </si>
  <si>
    <r>
      <t xml:space="preserve">·       </t>
    </r>
    <r>
      <rPr>
        <b/>
        <sz val="9"/>
        <color theme="1"/>
        <rFont val="Times New Roman"/>
        <family val="1"/>
      </rPr>
      <t>ISO/IEC 27001:2013</t>
    </r>
    <r>
      <rPr>
        <sz val="9"/>
        <color theme="1"/>
        <rFont val="Times New Roman"/>
        <family val="1"/>
      </rPr>
      <t xml:space="preserve"> A.8.1.1, A.8.1.2</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</si>
  <si>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CM-8</t>
    </r>
  </si>
  <si>
    <r>
      <t>ID.AM-2:</t>
    </r>
    <r>
      <rPr>
        <sz val="9"/>
        <color rgb="FF000000"/>
        <rFont val="Times New Roman"/>
        <family val="1"/>
      </rPr>
      <t xml:space="preserve"> Software platforms and applications within the organization are inventoried</t>
    </r>
  </si>
  <si>
    <r>
      <t xml:space="preserve">·       </t>
    </r>
    <r>
      <rPr>
        <b/>
        <sz val="9"/>
        <color theme="1"/>
        <rFont val="Times New Roman"/>
        <family val="1"/>
      </rPr>
      <t xml:space="preserve">CCS CSC </t>
    </r>
    <r>
      <rPr>
        <sz val="9"/>
        <color theme="1"/>
        <rFont val="Times New Roman"/>
        <family val="1"/>
      </rPr>
      <t>2</t>
    </r>
  </si>
  <si>
    <r>
      <t xml:space="preserve">·       </t>
    </r>
    <r>
      <rPr>
        <b/>
        <sz val="9"/>
        <color theme="1"/>
        <rFont val="Times New Roman"/>
        <family val="1"/>
      </rPr>
      <t xml:space="preserve">COBIT 5 </t>
    </r>
    <r>
      <rPr>
        <sz val="9"/>
        <color theme="1"/>
        <rFont val="Times New Roman"/>
        <family val="1"/>
      </rPr>
      <t>BAI09.01, BAI09.02, BAI09.05</t>
    </r>
  </si>
  <si>
    <r>
      <t xml:space="preserve">ID.AM-3: </t>
    </r>
    <r>
      <rPr>
        <sz val="9"/>
        <color rgb="FF000000"/>
        <rFont val="Times New Roman"/>
        <family val="1"/>
      </rPr>
      <t>Organizational communication and data flows are mapped</t>
    </r>
  </si>
  <si>
    <r>
      <t xml:space="preserve">·       </t>
    </r>
    <r>
      <rPr>
        <b/>
        <sz val="9"/>
        <color theme="1"/>
        <rFont val="Times New Roman"/>
        <family val="1"/>
      </rPr>
      <t>CCS CSC</t>
    </r>
    <r>
      <rPr>
        <sz val="9"/>
        <color theme="1"/>
        <rFont val="Times New Roman"/>
        <family val="1"/>
      </rPr>
      <t xml:space="preserve"> 1</t>
    </r>
  </si>
  <si>
    <r>
      <t xml:space="preserve">·       </t>
    </r>
    <r>
      <rPr>
        <b/>
        <sz val="9"/>
        <color theme="1"/>
        <rFont val="Times New Roman"/>
        <family val="1"/>
      </rPr>
      <t xml:space="preserve">COBIT 5 </t>
    </r>
    <r>
      <rPr>
        <sz val="9"/>
        <color theme="1"/>
        <rFont val="Times New Roman"/>
        <family val="1"/>
      </rPr>
      <t>DSS05.02</t>
    </r>
  </si>
  <si>
    <r>
      <t xml:space="preserve">·       </t>
    </r>
    <r>
      <rPr>
        <b/>
        <sz val="9"/>
        <color theme="1"/>
        <rFont val="Times New Roman"/>
        <family val="1"/>
      </rPr>
      <t>ISA 62443-2-1:2009</t>
    </r>
    <r>
      <rPr>
        <sz val="9"/>
        <color theme="1"/>
        <rFont val="Times New Roman"/>
        <family val="1"/>
      </rPr>
      <t xml:space="preserve"> 4.2.3.4</t>
    </r>
  </si>
  <si>
    <r>
      <t xml:space="preserve">·       </t>
    </r>
    <r>
      <rPr>
        <b/>
        <sz val="9"/>
        <color theme="1"/>
        <rFont val="Times New Roman"/>
        <family val="1"/>
      </rPr>
      <t>ISO/IEC 27001:2013</t>
    </r>
    <r>
      <rPr>
        <sz val="9"/>
        <color theme="1"/>
        <rFont val="Times New Roman"/>
        <family val="1"/>
      </rPr>
      <t xml:space="preserve"> A.13.2.1</t>
    </r>
  </si>
  <si>
    <r>
      <t xml:space="preserve">·       </t>
    </r>
    <r>
      <rPr>
        <b/>
        <sz val="9"/>
        <color theme="1"/>
        <rFont val="Times New Roman"/>
        <family val="1"/>
      </rPr>
      <t>NIST SP 800-53 Rev. 4</t>
    </r>
    <r>
      <rPr>
        <sz val="9"/>
        <color theme="1"/>
        <rFont val="Times New Roman"/>
        <family val="1"/>
      </rPr>
      <t xml:space="preserve"> AC-4, CA-3, CA-9, PL-8</t>
    </r>
  </si>
  <si>
    <r>
      <t>ID.AM-4:</t>
    </r>
    <r>
      <rPr>
        <sz val="9"/>
        <color rgb="FF000000"/>
        <rFont val="Times New Roman"/>
        <family val="1"/>
      </rPr>
      <t xml:space="preserve"> External information systems are catalogued</t>
    </r>
  </si>
  <si>
    <r>
      <t xml:space="preserve">·       </t>
    </r>
    <r>
      <rPr>
        <b/>
        <sz val="9"/>
        <color theme="1"/>
        <rFont val="Times New Roman"/>
        <family val="1"/>
      </rPr>
      <t xml:space="preserve">COBIT 5 </t>
    </r>
    <r>
      <rPr>
        <sz val="9"/>
        <color theme="1"/>
        <rFont val="Times New Roman"/>
        <family val="1"/>
      </rPr>
      <t>APO02.02</t>
    </r>
  </si>
  <si>
    <r>
      <t xml:space="preserve">·       </t>
    </r>
    <r>
      <rPr>
        <b/>
        <sz val="9"/>
        <color theme="1"/>
        <rFont val="Times New Roman"/>
        <family val="1"/>
      </rPr>
      <t>ISO/IEC 27001:2013</t>
    </r>
    <r>
      <rPr>
        <sz val="9"/>
        <color theme="1"/>
        <rFont val="Times New Roman"/>
        <family val="1"/>
      </rPr>
      <t xml:space="preserve"> A.11.2.6</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</si>
  <si>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AC-20, SA-9</t>
    </r>
  </si>
  <si>
    <r>
      <t>ID.AM-5:</t>
    </r>
    <r>
      <rPr>
        <sz val="9"/>
        <color rgb="FF000000"/>
        <rFont val="Times New Roman"/>
        <family val="1"/>
      </rPr>
      <t xml:space="preserve"> Resources (e.g., hardware, devices, data, and software) are prioritized based on their classification, criticality, and business value </t>
    </r>
  </si>
  <si>
    <r>
      <t xml:space="preserve">·       </t>
    </r>
    <r>
      <rPr>
        <b/>
        <sz val="9"/>
        <color rgb="FF000000"/>
        <rFont val="Times New Roman"/>
        <family val="1"/>
      </rPr>
      <t xml:space="preserve">COBIT 5 </t>
    </r>
    <r>
      <rPr>
        <sz val="9"/>
        <color theme="1"/>
        <rFont val="Times New Roman"/>
        <family val="1"/>
      </rPr>
      <t>APO03.03, APO03.04, BAI09.02</t>
    </r>
  </si>
  <si>
    <r>
      <t xml:space="preserve">·       </t>
    </r>
    <r>
      <rPr>
        <b/>
        <sz val="9"/>
        <color theme="1"/>
        <rFont val="Times New Roman"/>
        <family val="1"/>
      </rPr>
      <t xml:space="preserve">ISA 62443-2-1:2009 </t>
    </r>
    <r>
      <rPr>
        <sz val="9"/>
        <color theme="1"/>
        <rFont val="Times New Roman"/>
        <family val="1"/>
      </rPr>
      <t>4.2.3.6</t>
    </r>
  </si>
  <si>
    <r>
      <t xml:space="preserve">·       </t>
    </r>
    <r>
      <rPr>
        <b/>
        <sz val="9"/>
        <color rgb="FF000000"/>
        <rFont val="Times New Roman"/>
        <family val="1"/>
      </rPr>
      <t>ISO/IEC 27001:2013</t>
    </r>
    <r>
      <rPr>
        <sz val="9"/>
        <color rgb="FF000000"/>
        <rFont val="Times New Roman"/>
        <family val="1"/>
      </rPr>
      <t xml:space="preserve"> A.8.2.1</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</si>
  <si>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CP-2, RA-2, SA-14</t>
    </r>
  </si>
  <si>
    <r>
      <t xml:space="preserve">ID.AM-6: </t>
    </r>
    <r>
      <rPr>
        <sz val="9"/>
        <color rgb="FF000000"/>
        <rFont val="Times New Roman"/>
        <family val="1"/>
      </rPr>
      <t>Cybersecurity roles and responsibilities for the entire workforce and third-party stakeholders (e.g., suppliers, customers, partners) are established</t>
    </r>
  </si>
  <si>
    <r>
      <t xml:space="preserve">·       </t>
    </r>
    <r>
      <rPr>
        <b/>
        <sz val="9"/>
        <color theme="1"/>
        <rFont val="Times New Roman"/>
        <family val="1"/>
      </rPr>
      <t xml:space="preserve">COBIT 5 </t>
    </r>
    <r>
      <rPr>
        <sz val="9"/>
        <color theme="1"/>
        <rFont val="Times New Roman"/>
        <family val="1"/>
      </rPr>
      <t>APO01.02, DSS06.03</t>
    </r>
  </si>
  <si>
    <r>
      <t xml:space="preserve">·       </t>
    </r>
    <r>
      <rPr>
        <b/>
        <sz val="9"/>
        <color theme="1"/>
        <rFont val="Times New Roman"/>
        <family val="1"/>
      </rPr>
      <t xml:space="preserve">ISA 62443-2-1:2009 </t>
    </r>
    <r>
      <rPr>
        <sz val="9"/>
        <color theme="1"/>
        <rFont val="Times New Roman"/>
        <family val="1"/>
      </rPr>
      <t>4.3.2.3.3 </t>
    </r>
  </si>
  <si>
    <r>
      <t xml:space="preserve">·       </t>
    </r>
    <r>
      <rPr>
        <b/>
        <sz val="9"/>
        <color rgb="FF000000"/>
        <rFont val="Times New Roman"/>
        <family val="1"/>
      </rPr>
      <t>ISO/IEC 27001:2013</t>
    </r>
    <r>
      <rPr>
        <sz val="9"/>
        <color rgb="FF000000"/>
        <rFont val="Times New Roman"/>
        <family val="1"/>
      </rPr>
      <t xml:space="preserve"> A.6.1.1</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</si>
  <si>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CP-2, PS-7, </t>
    </r>
    <r>
      <rPr>
        <sz val="9"/>
        <color rgb="FF000000"/>
        <rFont val="Times New Roman"/>
        <family val="1"/>
      </rPr>
      <t>PM-11</t>
    </r>
    <r>
      <rPr>
        <sz val="9"/>
        <color theme="1"/>
        <rFont val="Times New Roman"/>
        <family val="1"/>
      </rPr>
      <t> </t>
    </r>
  </si>
  <si>
    <r>
      <t xml:space="preserve">Business Environment (ID.BE): </t>
    </r>
    <r>
      <rPr>
        <sz val="9"/>
        <color theme="1"/>
        <rFont val="Times New Roman"/>
        <family val="1"/>
      </rPr>
      <t>The organization’s mission, objectives, stakeholders, and activities are understood and prioritized; this information is used to inform cybersecurity roles, responsibilities, and risk management decisions.</t>
    </r>
  </si>
  <si>
    <r>
      <t xml:space="preserve">ID.BE-1: </t>
    </r>
    <r>
      <rPr>
        <sz val="9"/>
        <color rgb="FF000000"/>
        <rFont val="Times New Roman"/>
        <family val="1"/>
      </rPr>
      <t>The organization’s role in the supply chain is identified and communicated</t>
    </r>
  </si>
  <si>
    <r>
      <t xml:space="preserve">·       </t>
    </r>
    <r>
      <rPr>
        <b/>
        <sz val="9"/>
        <color theme="1"/>
        <rFont val="Times New Roman"/>
        <family val="1"/>
      </rPr>
      <t xml:space="preserve">COBIT 5 </t>
    </r>
    <r>
      <rPr>
        <sz val="9"/>
        <color theme="1"/>
        <rFont val="Times New Roman"/>
        <family val="1"/>
      </rPr>
      <t>APO08.04, APO08.05, APO10.03, APO10.04, APO10.05</t>
    </r>
  </si>
  <si>
    <r>
      <t xml:space="preserve">·       </t>
    </r>
    <r>
      <rPr>
        <b/>
        <sz val="9"/>
        <color rgb="FF000000"/>
        <rFont val="Times New Roman"/>
        <family val="1"/>
      </rPr>
      <t>ISO/IEC 27001:2013</t>
    </r>
    <r>
      <rPr>
        <sz val="9"/>
        <color rgb="FF000000"/>
        <rFont val="Times New Roman"/>
        <family val="1"/>
      </rPr>
      <t xml:space="preserve"> A.15.1.3, A.15.2.1, A.15.2.2</t>
    </r>
    <r>
      <rPr>
        <sz val="9"/>
        <color theme="1"/>
        <rFont val="Times New Roman"/>
        <family val="1"/>
      </rPr>
      <t> </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</si>
  <si>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CP-2, SA-12</t>
    </r>
  </si>
  <si>
    <r>
      <t xml:space="preserve">ID.BE-2: </t>
    </r>
    <r>
      <rPr>
        <sz val="9"/>
        <color rgb="FF000000"/>
        <rFont val="Times New Roman"/>
        <family val="1"/>
      </rPr>
      <t>The organization’s place in critical infrastructure and its industry sector is identified and communicated</t>
    </r>
  </si>
  <si>
    <r>
      <t xml:space="preserve">·       </t>
    </r>
    <r>
      <rPr>
        <b/>
        <sz val="9"/>
        <color rgb="FF000000"/>
        <rFont val="Times New Roman"/>
        <family val="1"/>
      </rPr>
      <t xml:space="preserve">COBIT 5 </t>
    </r>
    <r>
      <rPr>
        <sz val="9"/>
        <color theme="1"/>
        <rFont val="Times New Roman"/>
        <family val="1"/>
      </rPr>
      <t>APO02.06, APO03.01</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</si>
  <si>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PM-8</t>
    </r>
  </si>
  <si>
    <r>
      <t xml:space="preserve">ID.BE-3: </t>
    </r>
    <r>
      <rPr>
        <sz val="9"/>
        <color rgb="FF000000"/>
        <rFont val="Times New Roman"/>
        <family val="1"/>
      </rPr>
      <t>Priorities for organizational mission, objectives, and activities are established and communicated</t>
    </r>
  </si>
  <si>
    <r>
      <t xml:space="preserve">·       </t>
    </r>
    <r>
      <rPr>
        <b/>
        <sz val="9"/>
        <color rgb="FF000000"/>
        <rFont val="Times New Roman"/>
        <family val="1"/>
      </rPr>
      <t xml:space="preserve">COBIT 5 </t>
    </r>
    <r>
      <rPr>
        <sz val="9"/>
        <color theme="1"/>
        <rFont val="Times New Roman"/>
        <family val="1"/>
      </rPr>
      <t>APO02.01, APO02.06, APO03.01</t>
    </r>
  </si>
  <si>
    <r>
      <t xml:space="preserve">·       </t>
    </r>
    <r>
      <rPr>
        <b/>
        <sz val="9"/>
        <color theme="1"/>
        <rFont val="Times New Roman"/>
        <family val="1"/>
      </rPr>
      <t xml:space="preserve">ISA 62443-2-1:2009 </t>
    </r>
    <r>
      <rPr>
        <sz val="9"/>
        <color theme="1"/>
        <rFont val="Times New Roman"/>
        <family val="1"/>
      </rPr>
      <t>4.2.2.1, 4.2.3.6</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</si>
  <si>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PM-11, SA-14</t>
    </r>
  </si>
  <si>
    <r>
      <t>ID.BE-4</t>
    </r>
    <r>
      <rPr>
        <sz val="9"/>
        <color rgb="FF000000"/>
        <rFont val="Times New Roman"/>
        <family val="1"/>
      </rPr>
      <t>: Dependencies and critical functions for delivery of critical services are established</t>
    </r>
  </si>
  <si>
    <r>
      <t xml:space="preserve">·       </t>
    </r>
    <r>
      <rPr>
        <b/>
        <sz val="9"/>
        <color theme="1"/>
        <rFont val="Times New Roman"/>
        <family val="1"/>
      </rPr>
      <t xml:space="preserve">ISO/IEC 27001:2013 </t>
    </r>
    <r>
      <rPr>
        <sz val="9"/>
        <color theme="1"/>
        <rFont val="Times New Roman"/>
        <family val="1"/>
      </rPr>
      <t>A.11.2.2, A.11.2.3, A.12.1.3</t>
    </r>
  </si>
  <si>
    <r>
      <t xml:space="preserve">·       </t>
    </r>
    <r>
      <rPr>
        <b/>
        <sz val="9"/>
        <color rgb="FF000000"/>
        <rFont val="Times New Roman"/>
        <family val="1"/>
      </rPr>
      <t>NIST SP 800-53 Rev. 4</t>
    </r>
    <r>
      <rPr>
        <sz val="9"/>
        <color rgb="FF000000"/>
        <rFont val="Times New Roman"/>
        <family val="1"/>
      </rPr>
      <t xml:space="preserve"> CP-8, PE-9, PE-11, PM-8, SA-14</t>
    </r>
  </si>
  <si>
    <r>
      <t>ID.BE-5</t>
    </r>
    <r>
      <rPr>
        <sz val="9"/>
        <color rgb="FF000000"/>
        <rFont val="Times New Roman"/>
        <family val="1"/>
      </rPr>
      <t>: Resilience requirements to support delivery of critical services are established</t>
    </r>
  </si>
  <si>
    <r>
      <t xml:space="preserve">·       </t>
    </r>
    <r>
      <rPr>
        <b/>
        <sz val="9"/>
        <color theme="1"/>
        <rFont val="Times New Roman"/>
        <family val="1"/>
      </rPr>
      <t xml:space="preserve">COBIT 5 </t>
    </r>
    <r>
      <rPr>
        <sz val="9"/>
        <color theme="1"/>
        <rFont val="Times New Roman"/>
        <family val="1"/>
      </rPr>
      <t>DSS04.02</t>
    </r>
  </si>
  <si>
    <r>
      <t xml:space="preserve">·       </t>
    </r>
    <r>
      <rPr>
        <b/>
        <sz val="9"/>
        <color theme="1"/>
        <rFont val="Times New Roman"/>
        <family val="1"/>
      </rPr>
      <t xml:space="preserve">ISO/IEC 27001:2013 </t>
    </r>
    <r>
      <rPr>
        <sz val="9"/>
        <color theme="1"/>
        <rFont val="Times New Roman"/>
        <family val="1"/>
      </rPr>
      <t>A.11.1.4,</t>
    </r>
    <r>
      <rPr>
        <b/>
        <sz val="9"/>
        <color theme="1"/>
        <rFont val="Times New Roman"/>
        <family val="1"/>
      </rPr>
      <t xml:space="preserve"> </t>
    </r>
    <r>
      <rPr>
        <sz val="9"/>
        <color theme="1"/>
        <rFont val="Times New Roman"/>
        <family val="1"/>
      </rPr>
      <t>A.17.1.1,</t>
    </r>
    <r>
      <rPr>
        <b/>
        <sz val="9"/>
        <color theme="1"/>
        <rFont val="Times New Roman"/>
        <family val="1"/>
      </rPr>
      <t xml:space="preserve"> </t>
    </r>
    <r>
      <rPr>
        <sz val="9"/>
        <color theme="1"/>
        <rFont val="Times New Roman"/>
        <family val="1"/>
      </rPr>
      <t>A.17.1.2, A.17.2.1</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</si>
  <si>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 xml:space="preserve">Rev. 4 </t>
    </r>
    <r>
      <rPr>
        <sz val="9"/>
        <color theme="1"/>
        <rFont val="Times New Roman"/>
        <family val="1"/>
      </rPr>
      <t>CP-2, CP-11, SA-14</t>
    </r>
  </si>
  <si>
    <r>
      <t xml:space="preserve">Governance (ID.GV): </t>
    </r>
    <r>
      <rPr>
        <sz val="9"/>
        <color theme="1"/>
        <rFont val="Times New Roman"/>
        <family val="1"/>
      </rPr>
      <t>The policies, procedures, and processes to manage and monitor the organization’s regulatory, legal, risk, environmental, and operational requirements are understood and inform the management of cybersecurity risk.</t>
    </r>
  </si>
  <si>
    <r>
      <t xml:space="preserve">ID.GV-1: </t>
    </r>
    <r>
      <rPr>
        <sz val="9"/>
        <color rgb="FF000000"/>
        <rFont val="Times New Roman"/>
        <family val="1"/>
      </rPr>
      <t>Organizational information security policy is established</t>
    </r>
  </si>
  <si>
    <r>
      <t xml:space="preserve">·       </t>
    </r>
    <r>
      <rPr>
        <b/>
        <sz val="9"/>
        <color rgb="FF000000"/>
        <rFont val="Times New Roman"/>
        <family val="1"/>
      </rPr>
      <t xml:space="preserve">COBIT 5 </t>
    </r>
    <r>
      <rPr>
        <sz val="9"/>
        <color theme="1"/>
        <rFont val="Times New Roman"/>
        <family val="1"/>
      </rPr>
      <t>APO01.03, EDM01.01, EDM01.02</t>
    </r>
  </si>
  <si>
    <r>
      <t xml:space="preserve">·       </t>
    </r>
    <r>
      <rPr>
        <b/>
        <sz val="9"/>
        <color theme="1"/>
        <rFont val="Times New Roman"/>
        <family val="1"/>
      </rPr>
      <t xml:space="preserve">ISA 62443-2-1:2009 </t>
    </r>
    <r>
      <rPr>
        <sz val="9"/>
        <color theme="1"/>
        <rFont val="Times New Roman"/>
        <family val="1"/>
      </rPr>
      <t>4.3.2.6</t>
    </r>
  </si>
  <si>
    <r>
      <t xml:space="preserve">·       </t>
    </r>
    <r>
      <rPr>
        <b/>
        <sz val="9"/>
        <color rgb="FF000000"/>
        <rFont val="Times New Roman"/>
        <family val="1"/>
      </rPr>
      <t>ISO/IEC 27001:2013</t>
    </r>
    <r>
      <rPr>
        <sz val="9"/>
        <color rgb="FF000000"/>
        <rFont val="Times New Roman"/>
        <family val="1"/>
      </rPr>
      <t xml:space="preserve"> A.5.1.1</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</si>
  <si>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 xml:space="preserve">Rev. 4 </t>
    </r>
    <r>
      <rPr>
        <sz val="9"/>
        <color theme="1"/>
        <rFont val="Times New Roman"/>
        <family val="1"/>
      </rPr>
      <t xml:space="preserve">-1 controls from all families </t>
    </r>
  </si>
  <si>
    <r>
      <t xml:space="preserve">ID.GV-2: </t>
    </r>
    <r>
      <rPr>
        <sz val="9"/>
        <color rgb="FF000000"/>
        <rFont val="Times New Roman"/>
        <family val="1"/>
      </rPr>
      <t>Information security roles &amp; responsibilities are coordinated and aligned with internal roles and external partners</t>
    </r>
  </si>
  <si>
    <r>
      <t xml:space="preserve">·       </t>
    </r>
    <r>
      <rPr>
        <b/>
        <sz val="9"/>
        <color rgb="FF000000"/>
        <rFont val="Times New Roman"/>
        <family val="1"/>
      </rPr>
      <t>COBIT 5</t>
    </r>
    <r>
      <rPr>
        <sz val="9"/>
        <color rgb="FF000000"/>
        <rFont val="Times New Roman"/>
        <family val="1"/>
      </rPr>
      <t xml:space="preserve"> APO13.12</t>
    </r>
  </si>
  <si>
    <r>
      <t xml:space="preserve">·       </t>
    </r>
    <r>
      <rPr>
        <b/>
        <sz val="9"/>
        <color theme="1"/>
        <rFont val="Times New Roman"/>
        <family val="1"/>
      </rPr>
      <t xml:space="preserve">ISA 62443-2-1:2009 </t>
    </r>
    <r>
      <rPr>
        <sz val="9"/>
        <color theme="1"/>
        <rFont val="Times New Roman"/>
        <family val="1"/>
      </rPr>
      <t>4.3.2.3.3</t>
    </r>
  </si>
  <si>
    <r>
      <t xml:space="preserve">·       </t>
    </r>
    <r>
      <rPr>
        <b/>
        <sz val="9"/>
        <color rgb="FF000000"/>
        <rFont val="Times New Roman"/>
        <family val="1"/>
      </rPr>
      <t>ISO/IEC 27001:2013</t>
    </r>
    <r>
      <rPr>
        <sz val="9"/>
        <color rgb="FF000000"/>
        <rFont val="Times New Roman"/>
        <family val="1"/>
      </rPr>
      <t xml:space="preserve"> A.6.1.1, A.7.2.1</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</si>
  <si>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 xml:space="preserve">Rev. 4 </t>
    </r>
    <r>
      <rPr>
        <sz val="9"/>
        <color theme="1"/>
        <rFont val="Times New Roman"/>
        <family val="1"/>
      </rPr>
      <t>PM-1, PS-7</t>
    </r>
  </si>
  <si>
    <r>
      <t xml:space="preserve">ID.GV-3: </t>
    </r>
    <r>
      <rPr>
        <sz val="9"/>
        <color rgb="FF000000"/>
        <rFont val="Times New Roman"/>
        <family val="1"/>
      </rPr>
      <t>Legal and regulatory requirements regarding cybersecurity, including privacy and civil liberties obligations, are understood and managed</t>
    </r>
  </si>
  <si>
    <r>
      <t xml:space="preserve">·       </t>
    </r>
    <r>
      <rPr>
        <b/>
        <sz val="9"/>
        <color rgb="FF000000"/>
        <rFont val="Times New Roman"/>
        <family val="1"/>
      </rPr>
      <t xml:space="preserve">COBIT 5 </t>
    </r>
    <r>
      <rPr>
        <sz val="9"/>
        <color theme="1"/>
        <rFont val="Times New Roman"/>
        <family val="1"/>
      </rPr>
      <t>MEA03.01, MEA03.04</t>
    </r>
  </si>
  <si>
    <r>
      <t xml:space="preserve">·       </t>
    </r>
    <r>
      <rPr>
        <b/>
        <sz val="9"/>
        <color theme="1"/>
        <rFont val="Times New Roman"/>
        <family val="1"/>
      </rPr>
      <t xml:space="preserve">ISA 62443-2-1:2009 </t>
    </r>
    <r>
      <rPr>
        <sz val="9"/>
        <color theme="1"/>
        <rFont val="Times New Roman"/>
        <family val="1"/>
      </rPr>
      <t>4.4.3.7</t>
    </r>
  </si>
  <si>
    <r>
      <t xml:space="preserve">·       </t>
    </r>
    <r>
      <rPr>
        <b/>
        <sz val="9"/>
        <color rgb="FF000000"/>
        <rFont val="Times New Roman"/>
        <family val="1"/>
      </rPr>
      <t>ISO/IEC 27001:2013</t>
    </r>
    <r>
      <rPr>
        <sz val="9"/>
        <color rgb="FF000000"/>
        <rFont val="Times New Roman"/>
        <family val="1"/>
      </rPr>
      <t xml:space="preserve"> A.18.1</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</si>
  <si>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 xml:space="preserve">Rev. 4 </t>
    </r>
    <r>
      <rPr>
        <sz val="9"/>
        <color theme="1"/>
        <rFont val="Times New Roman"/>
        <family val="1"/>
      </rPr>
      <t>-1 controls from all families (except PM-1)</t>
    </r>
  </si>
  <si>
    <r>
      <t>ID.GV-4</t>
    </r>
    <r>
      <rPr>
        <sz val="9"/>
        <color rgb="FF000000"/>
        <rFont val="Times New Roman"/>
        <family val="1"/>
      </rPr>
      <t>: Governance and risk management processes address cybersecurity risks</t>
    </r>
  </si>
  <si>
    <r>
      <t xml:space="preserve">·       </t>
    </r>
    <r>
      <rPr>
        <b/>
        <sz val="9"/>
        <color rgb="FF000000"/>
        <rFont val="Times New Roman"/>
        <family val="1"/>
      </rPr>
      <t xml:space="preserve">COBIT 5 </t>
    </r>
    <r>
      <rPr>
        <sz val="9"/>
        <color rgb="FF000000"/>
        <rFont val="Times New Roman"/>
        <family val="1"/>
      </rPr>
      <t>DSS04.02</t>
    </r>
  </si>
  <si>
    <r>
      <t xml:space="preserve">·       </t>
    </r>
    <r>
      <rPr>
        <b/>
        <sz val="9"/>
        <color rgb="FF000000"/>
        <rFont val="Times New Roman"/>
        <family val="1"/>
      </rPr>
      <t>ISA 62443-2-1:2009</t>
    </r>
    <r>
      <rPr>
        <sz val="9"/>
        <color rgb="FF000000"/>
        <rFont val="Times New Roman"/>
        <family val="1"/>
      </rPr>
      <t xml:space="preserve"> </t>
    </r>
    <r>
      <rPr>
        <sz val="9"/>
        <color theme="1"/>
        <rFont val="Times New Roman"/>
        <family val="1"/>
      </rPr>
      <t>4.2.3.1, 4.2.3.3, 4.2.3.8, 4.2.3.9, 4.2.3.11, 4.3.2.4.3, 4.3.2.6.3</t>
    </r>
  </si>
  <si>
    <r>
      <t xml:space="preserve">·       </t>
    </r>
    <r>
      <rPr>
        <b/>
        <sz val="9"/>
        <color theme="1"/>
        <rFont val="Times New Roman"/>
        <family val="1"/>
      </rPr>
      <t>NIST SP 800-53 Rev. 4</t>
    </r>
    <r>
      <rPr>
        <sz val="9"/>
        <color theme="1"/>
        <rFont val="Times New Roman"/>
        <family val="1"/>
      </rPr>
      <t xml:space="preserve"> PM-9, PM-11</t>
    </r>
  </si>
  <si>
    <r>
      <t xml:space="preserve">Risk Assessment (ID.RA): </t>
    </r>
    <r>
      <rPr>
        <sz val="9"/>
        <color theme="1"/>
        <rFont val="Times New Roman"/>
        <family val="1"/>
      </rPr>
      <t>The organization understands the cybersecurity risk to organizational operations (including mission, functions, image, or reputation), organizational assets, and individuals.</t>
    </r>
  </si>
  <si>
    <r>
      <t xml:space="preserve">ID.RA-1: </t>
    </r>
    <r>
      <rPr>
        <sz val="9"/>
        <color rgb="FF000000"/>
        <rFont val="Times New Roman"/>
        <family val="1"/>
      </rPr>
      <t>Asset vulnerabilities are identified and documented</t>
    </r>
  </si>
  <si>
    <r>
      <t xml:space="preserve">·       </t>
    </r>
    <r>
      <rPr>
        <b/>
        <sz val="9"/>
        <color rgb="FF000000"/>
        <rFont val="Times New Roman"/>
        <family val="1"/>
      </rPr>
      <t xml:space="preserve">CCS CSC </t>
    </r>
    <r>
      <rPr>
        <sz val="9"/>
        <color rgb="FF000000"/>
        <rFont val="Times New Roman"/>
        <family val="1"/>
      </rPr>
      <t>4</t>
    </r>
  </si>
  <si>
    <r>
      <t xml:space="preserve">·       </t>
    </r>
    <r>
      <rPr>
        <b/>
        <sz val="9"/>
        <color rgb="FF000000"/>
        <rFont val="Times New Roman"/>
        <family val="1"/>
      </rPr>
      <t xml:space="preserve">COBIT 5 </t>
    </r>
    <r>
      <rPr>
        <sz val="9"/>
        <color theme="1"/>
        <rFont val="Times New Roman"/>
        <family val="1"/>
      </rPr>
      <t>APO12.01, APO12.02, APO12.03, APO12.04</t>
    </r>
  </si>
  <si>
    <r>
      <t xml:space="preserve">·       </t>
    </r>
    <r>
      <rPr>
        <b/>
        <sz val="9"/>
        <color theme="1"/>
        <rFont val="Times New Roman"/>
        <family val="1"/>
      </rPr>
      <t xml:space="preserve">ISA 62443-2-1:2009 </t>
    </r>
    <r>
      <rPr>
        <sz val="9"/>
        <color theme="1"/>
        <rFont val="Times New Roman"/>
        <family val="1"/>
      </rPr>
      <t>4.2.3, 4.2.3.7, 4.2.3.9, 4.2.3.12</t>
    </r>
  </si>
  <si>
    <r>
      <t xml:space="preserve">·       </t>
    </r>
    <r>
      <rPr>
        <b/>
        <sz val="9"/>
        <color rgb="FF000000"/>
        <rFont val="Times New Roman"/>
        <family val="1"/>
      </rPr>
      <t>ISO/IEC 27001:2013</t>
    </r>
    <r>
      <rPr>
        <sz val="9"/>
        <color rgb="FF000000"/>
        <rFont val="Times New Roman"/>
        <family val="1"/>
      </rPr>
      <t xml:space="preserve"> A.12.6.1, A.18.2.3</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</si>
  <si>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CA-2, CA-7, CA-8, RA-3, RA-5, SA-5, SA-11, SI-2, SI-4, SI-5</t>
    </r>
  </si>
  <si>
    <r>
      <t xml:space="preserve">ID.RA-2: </t>
    </r>
    <r>
      <rPr>
        <sz val="9"/>
        <color rgb="FF000000"/>
        <rFont val="Times New Roman"/>
        <family val="1"/>
      </rPr>
      <t>Threat and vulnerability information is received from information sharing forums and sources</t>
    </r>
  </si>
  <si>
    <r>
      <t xml:space="preserve">·       </t>
    </r>
    <r>
      <rPr>
        <b/>
        <sz val="9"/>
        <color theme="1"/>
        <rFont val="Times New Roman"/>
        <family val="1"/>
      </rPr>
      <t xml:space="preserve">ISA 62443-2-1:2009 </t>
    </r>
    <r>
      <rPr>
        <sz val="9"/>
        <color theme="1"/>
        <rFont val="Times New Roman"/>
        <family val="1"/>
      </rPr>
      <t>4.2.3, 4.2.3.9, 4.2.3.12</t>
    </r>
  </si>
  <si>
    <r>
      <t xml:space="preserve">·       </t>
    </r>
    <r>
      <rPr>
        <b/>
        <sz val="9"/>
        <color theme="1"/>
        <rFont val="Times New Roman"/>
        <family val="1"/>
      </rPr>
      <t>ISO/IEC 27001:2013</t>
    </r>
    <r>
      <rPr>
        <sz val="9"/>
        <color theme="1"/>
        <rFont val="Times New Roman"/>
        <family val="1"/>
      </rPr>
      <t xml:space="preserve"> A.6.1.4</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</si>
  <si>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PM-15, </t>
    </r>
    <r>
      <rPr>
        <sz val="9"/>
        <color rgb="FF000000"/>
        <rFont val="Times New Roman"/>
        <family val="1"/>
      </rPr>
      <t>PM-16, SI-5</t>
    </r>
  </si>
  <si>
    <r>
      <t xml:space="preserve">ID.RA-3: </t>
    </r>
    <r>
      <rPr>
        <sz val="9"/>
        <color rgb="FF000000"/>
        <rFont val="Times New Roman"/>
        <family val="1"/>
      </rPr>
      <t>Threats, both internal and external, are identified and documented</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</si>
  <si>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RA-3, SI-5, PM-12, PM-16</t>
    </r>
  </si>
  <si>
    <r>
      <t xml:space="preserve">ID.RA-4: </t>
    </r>
    <r>
      <rPr>
        <sz val="9"/>
        <color rgb="FF000000"/>
        <rFont val="Times New Roman"/>
        <family val="1"/>
      </rPr>
      <t>Potential business impacts and likelihoods are identified</t>
    </r>
  </si>
  <si>
    <r>
      <t xml:space="preserve">·       </t>
    </r>
    <r>
      <rPr>
        <b/>
        <sz val="9"/>
        <color theme="1"/>
        <rFont val="Times New Roman"/>
        <family val="1"/>
      </rPr>
      <t>COBIT 5</t>
    </r>
    <r>
      <rPr>
        <sz val="9"/>
        <color theme="1"/>
        <rFont val="Times New Roman"/>
        <family val="1"/>
      </rPr>
      <t xml:space="preserve"> DSS04.02</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</si>
  <si>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RA-2, </t>
    </r>
    <r>
      <rPr>
        <sz val="9"/>
        <color rgb="FF000000"/>
        <rFont val="Times New Roman"/>
        <family val="1"/>
      </rPr>
      <t>RA-3, PM-9, PM-11, SA-14</t>
    </r>
  </si>
  <si>
    <r>
      <t>ID.RA-5</t>
    </r>
    <r>
      <rPr>
        <sz val="9"/>
        <color rgb="FF000000"/>
        <rFont val="Times New Roman"/>
        <family val="1"/>
      </rPr>
      <t>: Threats, vulnerabilities, likelihoods, and impacts are used to determine risk</t>
    </r>
  </si>
  <si>
    <r>
      <t xml:space="preserve">·       </t>
    </r>
    <r>
      <rPr>
        <b/>
        <sz val="9"/>
        <color theme="1"/>
        <rFont val="Times New Roman"/>
        <family val="1"/>
      </rPr>
      <t>COBIT 5</t>
    </r>
    <r>
      <rPr>
        <sz val="9"/>
        <color theme="1"/>
        <rFont val="Times New Roman"/>
        <family val="1"/>
      </rPr>
      <t xml:space="preserve"> APO12.02</t>
    </r>
  </si>
  <si>
    <r>
      <t xml:space="preserve">·       </t>
    </r>
    <r>
      <rPr>
        <b/>
        <sz val="9"/>
        <color rgb="FF000000"/>
        <rFont val="Times New Roman"/>
        <family val="1"/>
      </rPr>
      <t xml:space="preserve">ISO/IEC 27001:2013 </t>
    </r>
    <r>
      <rPr>
        <sz val="9"/>
        <color rgb="FF000000"/>
        <rFont val="Times New Roman"/>
        <family val="1"/>
      </rPr>
      <t>A.12.6.1</t>
    </r>
  </si>
  <si>
    <r>
      <t xml:space="preserve">·       </t>
    </r>
    <r>
      <rPr>
        <b/>
        <sz val="9"/>
        <color theme="1"/>
        <rFont val="Times New Roman"/>
        <family val="1"/>
      </rPr>
      <t>NIST SP 800-53 Rev. 4</t>
    </r>
    <r>
      <rPr>
        <sz val="9"/>
        <color theme="1"/>
        <rFont val="Times New Roman"/>
        <family val="1"/>
      </rPr>
      <t xml:space="preserve"> RA-2, RA-3, PM-16</t>
    </r>
  </si>
  <si>
    <r>
      <t xml:space="preserve">ID.RA-6: </t>
    </r>
    <r>
      <rPr>
        <sz val="9"/>
        <color rgb="FF000000"/>
        <rFont val="Times New Roman"/>
        <family val="1"/>
      </rPr>
      <t>Risk responses are identified and prioritized</t>
    </r>
  </si>
  <si>
    <r>
      <t xml:space="preserve">·       </t>
    </r>
    <r>
      <rPr>
        <b/>
        <sz val="9"/>
        <color theme="1"/>
        <rFont val="Times New Roman"/>
        <family val="1"/>
      </rPr>
      <t>COBIT 5</t>
    </r>
    <r>
      <rPr>
        <sz val="9"/>
        <color theme="1"/>
        <rFont val="Times New Roman"/>
        <family val="1"/>
      </rPr>
      <t xml:space="preserve"> APO12.05, APO13.02</t>
    </r>
  </si>
  <si>
    <r>
      <t xml:space="preserve">·       </t>
    </r>
    <r>
      <rPr>
        <b/>
        <sz val="9"/>
        <color theme="1"/>
        <rFont val="Times New Roman"/>
        <family val="1"/>
      </rPr>
      <t>NIST SP 800-53 Rev. 4</t>
    </r>
    <r>
      <rPr>
        <sz val="9"/>
        <color theme="1"/>
        <rFont val="Times New Roman"/>
        <family val="1"/>
      </rPr>
      <t xml:space="preserve"> PM-4, PM-9</t>
    </r>
  </si>
  <si>
    <r>
      <t xml:space="preserve">Risk Management Strategy (ID.RM): </t>
    </r>
    <r>
      <rPr>
        <sz val="9"/>
        <color theme="1"/>
        <rFont val="Times New Roman"/>
        <family val="1"/>
      </rPr>
      <t>The organization’s priorities, constraints, risk tolerances, and assumptions are established and used to support operational risk decisions.</t>
    </r>
  </si>
  <si>
    <r>
      <t xml:space="preserve">ID.RM-1: </t>
    </r>
    <r>
      <rPr>
        <sz val="9"/>
        <color rgb="FF000000"/>
        <rFont val="Times New Roman"/>
        <family val="1"/>
      </rPr>
      <t>Risk management processes are established, managed, and agreed to by organizational stakeholders</t>
    </r>
  </si>
  <si>
    <r>
      <t xml:space="preserve">·       </t>
    </r>
    <r>
      <rPr>
        <b/>
        <sz val="9"/>
        <color rgb="FF000000"/>
        <rFont val="Times New Roman"/>
        <family val="1"/>
      </rPr>
      <t xml:space="preserve">COBIT 5 </t>
    </r>
    <r>
      <rPr>
        <sz val="9"/>
        <color theme="1"/>
        <rFont val="Times New Roman"/>
        <family val="1"/>
      </rPr>
      <t>APO12.04, APO12.05, APO13.02, BAI02.03, BAI04.02</t>
    </r>
    <r>
      <rPr>
        <b/>
        <sz val="9"/>
        <color theme="1"/>
        <rFont val="Times New Roman"/>
        <family val="1"/>
      </rPr>
      <t xml:space="preserve"> </t>
    </r>
  </si>
  <si>
    <r>
      <t xml:space="preserve">·       </t>
    </r>
    <r>
      <rPr>
        <b/>
        <sz val="9"/>
        <color theme="1"/>
        <rFont val="Times New Roman"/>
        <family val="1"/>
      </rPr>
      <t xml:space="preserve">ISA 62443-2-1:2009 </t>
    </r>
    <r>
      <rPr>
        <sz val="9"/>
        <color theme="1"/>
        <rFont val="Times New Roman"/>
        <family val="1"/>
      </rPr>
      <t>4.3.4.2</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</si>
  <si>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PM-9</t>
    </r>
  </si>
  <si>
    <r>
      <t xml:space="preserve">ID.RM-2: </t>
    </r>
    <r>
      <rPr>
        <sz val="9"/>
        <color rgb="FF000000"/>
        <rFont val="Times New Roman"/>
        <family val="1"/>
      </rPr>
      <t>Organizational risk tolerance is determined and clearly expressed</t>
    </r>
  </si>
  <si>
    <r>
      <t xml:space="preserve">·       </t>
    </r>
    <r>
      <rPr>
        <b/>
        <sz val="9"/>
        <color rgb="FF000000"/>
        <rFont val="Times New Roman"/>
        <family val="1"/>
      </rPr>
      <t xml:space="preserve">COBIT 5 </t>
    </r>
    <r>
      <rPr>
        <sz val="9"/>
        <color theme="1"/>
        <rFont val="Times New Roman"/>
        <family val="1"/>
      </rPr>
      <t>APO12.06</t>
    </r>
  </si>
  <si>
    <r>
      <t xml:space="preserve">·       </t>
    </r>
    <r>
      <rPr>
        <b/>
        <sz val="9"/>
        <color theme="1"/>
        <rFont val="Times New Roman"/>
        <family val="1"/>
      </rPr>
      <t xml:space="preserve">ISA 62443-2-1:2009 </t>
    </r>
    <r>
      <rPr>
        <sz val="9"/>
        <color theme="1"/>
        <rFont val="Times New Roman"/>
        <family val="1"/>
      </rPr>
      <t>4.3.2.6.5</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</si>
  <si>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rgb="FF000000"/>
        <rFont val="Times New Roman"/>
        <family val="1"/>
      </rPr>
      <t xml:space="preserve"> PM-9</t>
    </r>
  </si>
  <si>
    <r>
      <t>ID.RM-3</t>
    </r>
    <r>
      <rPr>
        <sz val="9"/>
        <color rgb="FF000000"/>
        <rFont val="Times New Roman"/>
        <family val="1"/>
      </rPr>
      <t>: The organization’s determination of risk tolerance is informed by its role in critical infrastructure and sector specific risk analysis</t>
    </r>
  </si>
  <si>
    <r>
      <t xml:space="preserve">·       </t>
    </r>
    <r>
      <rPr>
        <b/>
        <sz val="9"/>
        <color theme="1"/>
        <rFont val="Times New Roman"/>
        <family val="1"/>
      </rPr>
      <t xml:space="preserve">NIST SP 800-53 Rev. 4 </t>
    </r>
    <r>
      <rPr>
        <sz val="9"/>
        <color theme="1"/>
        <rFont val="Times New Roman"/>
        <family val="1"/>
      </rPr>
      <t>PM-8, PM-9, PM-11, SA-14</t>
    </r>
  </si>
  <si>
    <r>
      <t xml:space="preserve">Access Control (PR.AC): </t>
    </r>
    <r>
      <rPr>
        <sz val="9"/>
        <color theme="1"/>
        <rFont val="Times New Roman"/>
        <family val="1"/>
      </rPr>
      <t>Access to assets and associated facilities is limited to authorized users, processes, or devices, and to authorized activities and transactions.</t>
    </r>
  </si>
  <si>
    <r>
      <t xml:space="preserve">PR.AC-1: </t>
    </r>
    <r>
      <rPr>
        <sz val="9"/>
        <color rgb="FF000000"/>
        <rFont val="Times New Roman"/>
        <family val="1"/>
      </rPr>
      <t>Identities and credentials are managed for authorized devices and users</t>
    </r>
  </si>
  <si>
    <r>
      <t xml:space="preserve">·       </t>
    </r>
    <r>
      <rPr>
        <b/>
        <sz val="9"/>
        <color rgb="FF000000"/>
        <rFont val="Times New Roman"/>
        <family val="1"/>
      </rPr>
      <t>CCS</t>
    </r>
    <r>
      <rPr>
        <sz val="9"/>
        <color rgb="FF000000"/>
        <rFont val="Times New Roman"/>
        <family val="1"/>
      </rPr>
      <t xml:space="preserve"> </t>
    </r>
    <r>
      <rPr>
        <b/>
        <sz val="9"/>
        <color rgb="FF000000"/>
        <rFont val="Times New Roman"/>
        <family val="1"/>
      </rPr>
      <t xml:space="preserve">CSC </t>
    </r>
    <r>
      <rPr>
        <sz val="9"/>
        <color rgb="FF000000"/>
        <rFont val="Times New Roman"/>
        <family val="1"/>
      </rPr>
      <t>16</t>
    </r>
  </si>
  <si>
    <r>
      <t xml:space="preserve">·       </t>
    </r>
    <r>
      <rPr>
        <b/>
        <sz val="9"/>
        <color rgb="FF000000"/>
        <rFont val="Times New Roman"/>
        <family val="1"/>
      </rPr>
      <t xml:space="preserve">COBIT 5 </t>
    </r>
    <r>
      <rPr>
        <sz val="9"/>
        <color rgb="FF000000"/>
        <rFont val="Times New Roman"/>
        <family val="1"/>
      </rPr>
      <t>DSS05.04, DSS06.03</t>
    </r>
  </si>
  <si>
    <r>
      <t xml:space="preserve">·       </t>
    </r>
    <r>
      <rPr>
        <b/>
        <sz val="9"/>
        <color theme="1"/>
        <rFont val="Times New Roman"/>
        <family val="1"/>
      </rPr>
      <t xml:space="preserve">ISA 62443-2-1:2009 </t>
    </r>
    <r>
      <rPr>
        <sz val="9"/>
        <color theme="1"/>
        <rFont val="Times New Roman"/>
        <family val="1"/>
      </rPr>
      <t>4.3.3.5.1</t>
    </r>
  </si>
  <si>
    <r>
      <t xml:space="preserve">·       </t>
    </r>
    <r>
      <rPr>
        <b/>
        <sz val="9"/>
        <color theme="1"/>
        <rFont val="Times New Roman"/>
        <family val="1"/>
      </rPr>
      <t>ISA 62443-3-3:2013</t>
    </r>
    <r>
      <rPr>
        <sz val="9"/>
        <color theme="1"/>
        <rFont val="Times New Roman"/>
        <family val="1"/>
      </rPr>
      <t xml:space="preserve"> SR 1.1, SR 1.2, SR 1.3, SR 1.4, SR 1.5, SR 1.7, SR 1.8, SR 1.9</t>
    </r>
  </si>
  <si>
    <r>
      <t xml:space="preserve">·       </t>
    </r>
    <r>
      <rPr>
        <b/>
        <sz val="9"/>
        <color rgb="FF000000"/>
        <rFont val="Times New Roman"/>
        <family val="1"/>
      </rPr>
      <t xml:space="preserve">ISO/IEC 27001:2013 </t>
    </r>
    <r>
      <rPr>
        <sz val="9"/>
        <color rgb="FF000000"/>
        <rFont val="Times New Roman"/>
        <family val="1"/>
      </rPr>
      <t>A.9.2.1, A.9.2.2, A.9.2.4, A.9.3.1, A.9.4.2, A.9.4.3</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</si>
  <si>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AC-2, IA Family</t>
    </r>
  </si>
  <si>
    <r>
      <t xml:space="preserve">PR.AC-2: </t>
    </r>
    <r>
      <rPr>
        <sz val="9"/>
        <color rgb="FF000000"/>
        <rFont val="Times New Roman"/>
        <family val="1"/>
      </rPr>
      <t>Physical access to assets is managed and protected</t>
    </r>
  </si>
  <si>
    <r>
      <t xml:space="preserve">·       </t>
    </r>
    <r>
      <rPr>
        <b/>
        <sz val="9"/>
        <color rgb="FF000000"/>
        <rFont val="Times New Roman"/>
        <family val="1"/>
      </rPr>
      <t xml:space="preserve">COBIT 5 </t>
    </r>
    <r>
      <rPr>
        <sz val="9"/>
        <color rgb="FF000000"/>
        <rFont val="Times New Roman"/>
        <family val="1"/>
      </rPr>
      <t>DSS01.04, DSS05.05</t>
    </r>
  </si>
  <si>
    <r>
      <t xml:space="preserve">·       </t>
    </r>
    <r>
      <rPr>
        <b/>
        <sz val="9"/>
        <color theme="1"/>
        <rFont val="Times New Roman"/>
        <family val="1"/>
      </rPr>
      <t xml:space="preserve">ISA 62443-2-1:2009 </t>
    </r>
    <r>
      <rPr>
        <sz val="9"/>
        <color theme="1"/>
        <rFont val="Times New Roman"/>
        <family val="1"/>
      </rPr>
      <t>4.3.3.3.2, 4.3.3.3.8</t>
    </r>
  </si>
  <si>
    <r>
      <t xml:space="preserve">·       </t>
    </r>
    <r>
      <rPr>
        <b/>
        <sz val="9"/>
        <color rgb="FF000000"/>
        <rFont val="Times New Roman"/>
        <family val="1"/>
      </rPr>
      <t xml:space="preserve">ISO/IEC 27001:2013 </t>
    </r>
    <r>
      <rPr>
        <sz val="9"/>
        <color rgb="FF000000"/>
        <rFont val="Times New Roman"/>
        <family val="1"/>
      </rPr>
      <t xml:space="preserve">A.11.1.1, A.11.1.2, A.11.1.4, A.11.1.6, A.11.2.3 </t>
    </r>
  </si>
  <si>
    <r>
      <t xml:space="preserve">·       </t>
    </r>
    <r>
      <rPr>
        <b/>
        <sz val="9"/>
        <color rgb="FF000000"/>
        <rFont val="Times New Roman"/>
        <family val="1"/>
      </rPr>
      <t xml:space="preserve">NIST SP 800-53 Rev. 4 </t>
    </r>
    <r>
      <rPr>
        <sz val="9"/>
        <color rgb="FF000000"/>
        <rFont val="Times New Roman"/>
        <family val="1"/>
      </rPr>
      <t>PE-2, PE-3, PE-4, PE-5, PE-6, PE-9</t>
    </r>
  </si>
  <si>
    <r>
      <t xml:space="preserve">PR.AC-3: </t>
    </r>
    <r>
      <rPr>
        <sz val="9"/>
        <color rgb="FF000000"/>
        <rFont val="Times New Roman"/>
        <family val="1"/>
      </rPr>
      <t>Remote access is managed</t>
    </r>
  </si>
  <si>
    <r>
      <t xml:space="preserve">·       </t>
    </r>
    <r>
      <rPr>
        <b/>
        <sz val="9"/>
        <color rgb="FF000000"/>
        <rFont val="Times New Roman"/>
        <family val="1"/>
      </rPr>
      <t xml:space="preserve">COBIT 5 </t>
    </r>
    <r>
      <rPr>
        <sz val="9"/>
        <color rgb="FF000000"/>
        <rFont val="Times New Roman"/>
        <family val="1"/>
      </rPr>
      <t>APO13.01, DSS01.04, DSS05.03</t>
    </r>
  </si>
  <si>
    <r>
      <t xml:space="preserve">·       </t>
    </r>
    <r>
      <rPr>
        <b/>
        <sz val="9"/>
        <color theme="1"/>
        <rFont val="Times New Roman"/>
        <family val="1"/>
      </rPr>
      <t xml:space="preserve">ISA 62443-2-1:2009 </t>
    </r>
    <r>
      <rPr>
        <sz val="9"/>
        <color theme="1"/>
        <rFont val="Times New Roman"/>
        <family val="1"/>
      </rPr>
      <t>4.3.3.6.6</t>
    </r>
  </si>
  <si>
    <r>
      <t xml:space="preserve">·       </t>
    </r>
    <r>
      <rPr>
        <b/>
        <sz val="9"/>
        <color theme="1"/>
        <rFont val="Times New Roman"/>
        <family val="1"/>
      </rPr>
      <t>ISA 62443-3-3:2013</t>
    </r>
    <r>
      <rPr>
        <sz val="9"/>
        <color theme="1"/>
        <rFont val="Times New Roman"/>
        <family val="1"/>
      </rPr>
      <t xml:space="preserve"> SR 1.13, SR 2.6</t>
    </r>
  </si>
  <si>
    <r>
      <t xml:space="preserve">·       </t>
    </r>
    <r>
      <rPr>
        <b/>
        <sz val="9"/>
        <color rgb="FF000000"/>
        <rFont val="Times New Roman"/>
        <family val="1"/>
      </rPr>
      <t xml:space="preserve">ISO/IEC 27001:2013 </t>
    </r>
    <r>
      <rPr>
        <sz val="9"/>
        <color rgb="FF000000"/>
        <rFont val="Times New Roman"/>
        <family val="1"/>
      </rPr>
      <t>A.6.2.2, A.13.1.1, A.13.2.1</t>
    </r>
  </si>
  <si>
    <r>
      <t xml:space="preserve">·       </t>
    </r>
    <r>
      <rPr>
        <b/>
        <sz val="9"/>
        <color rgb="FF000000"/>
        <rFont val="Times New Roman"/>
        <family val="1"/>
      </rPr>
      <t xml:space="preserve">NIST SP 800-53 Rev. 4 </t>
    </r>
    <r>
      <rPr>
        <sz val="9"/>
        <color rgb="FF000000"/>
        <rFont val="Times New Roman"/>
        <family val="1"/>
      </rPr>
      <t>AC‑17, AC-19, AC-20</t>
    </r>
  </si>
  <si>
    <r>
      <t xml:space="preserve">PR.AC-4: </t>
    </r>
    <r>
      <rPr>
        <sz val="9"/>
        <color rgb="FF000000"/>
        <rFont val="Times New Roman"/>
        <family val="1"/>
      </rPr>
      <t>Access permissions are managed, incorporating the principles of least privilege and separation of duties</t>
    </r>
  </si>
  <si>
    <r>
      <t xml:space="preserve">·       </t>
    </r>
    <r>
      <rPr>
        <b/>
        <sz val="9"/>
        <color rgb="FF000000"/>
        <rFont val="Times New Roman"/>
        <family val="1"/>
      </rPr>
      <t>CCS</t>
    </r>
    <r>
      <rPr>
        <sz val="9"/>
        <color rgb="FF000000"/>
        <rFont val="Times New Roman"/>
        <family val="1"/>
      </rPr>
      <t xml:space="preserve"> </t>
    </r>
    <r>
      <rPr>
        <b/>
        <sz val="9"/>
        <color rgb="FF000000"/>
        <rFont val="Times New Roman"/>
        <family val="1"/>
      </rPr>
      <t xml:space="preserve">CSC </t>
    </r>
    <r>
      <rPr>
        <sz val="9"/>
        <color rgb="FF000000"/>
        <rFont val="Times New Roman"/>
        <family val="1"/>
      </rPr>
      <t xml:space="preserve">12, 15 </t>
    </r>
  </si>
  <si>
    <r>
      <t xml:space="preserve">·       </t>
    </r>
    <r>
      <rPr>
        <b/>
        <sz val="9"/>
        <color theme="1"/>
        <rFont val="Times New Roman"/>
        <family val="1"/>
      </rPr>
      <t xml:space="preserve">ISA 62443-2-1:2009 </t>
    </r>
    <r>
      <rPr>
        <sz val="9"/>
        <color theme="1"/>
        <rFont val="Times New Roman"/>
        <family val="1"/>
      </rPr>
      <t>4.3.3.7.3</t>
    </r>
  </si>
  <si>
    <r>
      <t xml:space="preserve">·       </t>
    </r>
    <r>
      <rPr>
        <b/>
        <sz val="9"/>
        <color theme="1"/>
        <rFont val="Times New Roman"/>
        <family val="1"/>
      </rPr>
      <t>ISA 62443-3-3:2013</t>
    </r>
    <r>
      <rPr>
        <sz val="9"/>
        <color theme="1"/>
        <rFont val="Times New Roman"/>
        <family val="1"/>
      </rPr>
      <t xml:space="preserve"> SR 2.1</t>
    </r>
  </si>
  <si>
    <r>
      <t xml:space="preserve">·       </t>
    </r>
    <r>
      <rPr>
        <b/>
        <sz val="9"/>
        <color rgb="FF000000"/>
        <rFont val="Times New Roman"/>
        <family val="1"/>
      </rPr>
      <t xml:space="preserve">ISO/IEC 27001:2013 </t>
    </r>
    <r>
      <rPr>
        <sz val="9"/>
        <color rgb="FF000000"/>
        <rFont val="Times New Roman"/>
        <family val="1"/>
      </rPr>
      <t>A.6.1.2, A.9.1.2, A.9.2.3, A.9.4.1, A.9.4.4</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</si>
  <si>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AC-2, </t>
    </r>
    <r>
      <rPr>
        <sz val="9"/>
        <color rgb="FF000000"/>
        <rFont val="Times New Roman"/>
        <family val="1"/>
      </rPr>
      <t>AC-3, AC-5, AC-6, AC-16</t>
    </r>
  </si>
  <si>
    <r>
      <t xml:space="preserve">PR.AC-5: </t>
    </r>
    <r>
      <rPr>
        <sz val="9"/>
        <color rgb="FF000000"/>
        <rFont val="Times New Roman"/>
        <family val="1"/>
      </rPr>
      <t>Network integrity is protected, incorporating network segregation where appropriate</t>
    </r>
  </si>
  <si>
    <r>
      <t xml:space="preserve">·       </t>
    </r>
    <r>
      <rPr>
        <b/>
        <sz val="9"/>
        <color theme="1"/>
        <rFont val="Times New Roman"/>
        <family val="1"/>
      </rPr>
      <t xml:space="preserve">ISA 62443-2-1:2009 </t>
    </r>
    <r>
      <rPr>
        <sz val="9"/>
        <color theme="1"/>
        <rFont val="Times New Roman"/>
        <family val="1"/>
      </rPr>
      <t>4.3.3.4</t>
    </r>
  </si>
  <si>
    <r>
      <t xml:space="preserve">·       </t>
    </r>
    <r>
      <rPr>
        <b/>
        <sz val="9"/>
        <color theme="1"/>
        <rFont val="Times New Roman"/>
        <family val="1"/>
      </rPr>
      <t>ISA 62443-3-3:2013</t>
    </r>
    <r>
      <rPr>
        <sz val="9"/>
        <color theme="1"/>
        <rFont val="Times New Roman"/>
        <family val="1"/>
      </rPr>
      <t xml:space="preserve"> SR 3.1, SR 3.8</t>
    </r>
  </si>
  <si>
    <r>
      <t xml:space="preserve">·       </t>
    </r>
    <r>
      <rPr>
        <b/>
        <sz val="9"/>
        <color rgb="FF000000"/>
        <rFont val="Times New Roman"/>
        <family val="1"/>
      </rPr>
      <t xml:space="preserve">ISO/IEC 27001:2013 </t>
    </r>
    <r>
      <rPr>
        <sz val="9"/>
        <color rgb="FF000000"/>
        <rFont val="Times New Roman"/>
        <family val="1"/>
      </rPr>
      <t>A.13.1.1,</t>
    </r>
    <r>
      <rPr>
        <b/>
        <sz val="9"/>
        <color rgb="FF000000"/>
        <rFont val="Times New Roman"/>
        <family val="1"/>
      </rPr>
      <t xml:space="preserve"> </t>
    </r>
    <r>
      <rPr>
        <sz val="9"/>
        <color rgb="FF000000"/>
        <rFont val="Times New Roman"/>
        <family val="1"/>
      </rPr>
      <t>A.13.1.3, A.13.2.1</t>
    </r>
  </si>
  <si>
    <r>
      <t xml:space="preserve">·       </t>
    </r>
    <r>
      <rPr>
        <b/>
        <sz val="9"/>
        <color rgb="FF000000"/>
        <rFont val="Times New Roman"/>
        <family val="1"/>
      </rPr>
      <t>NIST SP 800-53 Rev. 4</t>
    </r>
    <r>
      <rPr>
        <sz val="9"/>
        <color rgb="FF000000"/>
        <rFont val="Times New Roman"/>
        <family val="1"/>
      </rPr>
      <t xml:space="preserve"> AC-4, SC-7</t>
    </r>
  </si>
  <si>
    <r>
      <t xml:space="preserve">Awareness and Training (PR.AT): </t>
    </r>
    <r>
      <rPr>
        <sz val="9"/>
        <color theme="1"/>
        <rFont val="Times New Roman"/>
        <family val="1"/>
      </rPr>
      <t>The organization’s personnel and partners are provided cybersecurity awareness education and are adequately trained to perform their information security-related duties and responsibilities consistent with related policies, procedures, and agreements.</t>
    </r>
  </si>
  <si>
    <r>
      <t xml:space="preserve">PR.AT-1: </t>
    </r>
    <r>
      <rPr>
        <sz val="9"/>
        <color rgb="FF000000"/>
        <rFont val="Times New Roman"/>
        <family val="1"/>
      </rPr>
      <t xml:space="preserve">All users are informed and trained </t>
    </r>
  </si>
  <si>
    <r>
      <t xml:space="preserve">·       </t>
    </r>
    <r>
      <rPr>
        <b/>
        <sz val="9"/>
        <color rgb="FF000000"/>
        <rFont val="Times New Roman"/>
        <family val="1"/>
      </rPr>
      <t>CCS CSC</t>
    </r>
    <r>
      <rPr>
        <sz val="9"/>
        <color rgb="FF000000"/>
        <rFont val="Times New Roman"/>
        <family val="1"/>
      </rPr>
      <t xml:space="preserve"> 9</t>
    </r>
  </si>
  <si>
    <r>
      <t xml:space="preserve">·       </t>
    </r>
    <r>
      <rPr>
        <b/>
        <sz val="9"/>
        <color rgb="FF000000"/>
        <rFont val="Times New Roman"/>
        <family val="1"/>
      </rPr>
      <t xml:space="preserve">COBIT 5 </t>
    </r>
    <r>
      <rPr>
        <sz val="9"/>
        <color rgb="FF000000"/>
        <rFont val="Times New Roman"/>
        <family val="1"/>
      </rPr>
      <t>APO07.03, BAI05.07</t>
    </r>
  </si>
  <si>
    <r>
      <t xml:space="preserve">·       </t>
    </r>
    <r>
      <rPr>
        <b/>
        <sz val="9"/>
        <color theme="1"/>
        <rFont val="Times New Roman"/>
        <family val="1"/>
      </rPr>
      <t xml:space="preserve">ISA 62443-2-1:2009 </t>
    </r>
    <r>
      <rPr>
        <sz val="9"/>
        <color theme="1"/>
        <rFont val="Times New Roman"/>
        <family val="1"/>
      </rPr>
      <t>4.3.2.4.2</t>
    </r>
  </si>
  <si>
    <r>
      <t xml:space="preserve">·       </t>
    </r>
    <r>
      <rPr>
        <b/>
        <sz val="9"/>
        <color rgb="FF000000"/>
        <rFont val="Times New Roman"/>
        <family val="1"/>
      </rPr>
      <t xml:space="preserve">ISO/IEC 27001:2013 </t>
    </r>
    <r>
      <rPr>
        <sz val="9"/>
        <color rgb="FF000000"/>
        <rFont val="Times New Roman"/>
        <family val="1"/>
      </rPr>
      <t>A.7.2.2</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</si>
  <si>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AT-2, PM-13</t>
    </r>
  </si>
  <si>
    <r>
      <t xml:space="preserve">PR.AT-2: </t>
    </r>
    <r>
      <rPr>
        <sz val="9"/>
        <color rgb="FF000000"/>
        <rFont val="Times New Roman"/>
        <family val="1"/>
      </rPr>
      <t xml:space="preserve">Privileged users understand roles &amp; responsibilities </t>
    </r>
  </si>
  <si>
    <r>
      <t xml:space="preserve">·       </t>
    </r>
    <r>
      <rPr>
        <b/>
        <sz val="9"/>
        <color rgb="FF000000"/>
        <rFont val="Times New Roman"/>
        <family val="1"/>
      </rPr>
      <t>CCS CSC</t>
    </r>
    <r>
      <rPr>
        <sz val="9"/>
        <color rgb="FF000000"/>
        <rFont val="Times New Roman"/>
        <family val="1"/>
      </rPr>
      <t xml:space="preserve"> 9 </t>
    </r>
  </si>
  <si>
    <r>
      <t xml:space="preserve">·       </t>
    </r>
    <r>
      <rPr>
        <b/>
        <sz val="9"/>
        <color rgb="FF000000"/>
        <rFont val="Times New Roman"/>
        <family val="1"/>
      </rPr>
      <t xml:space="preserve">COBIT 5 </t>
    </r>
    <r>
      <rPr>
        <sz val="9"/>
        <color rgb="FF000000"/>
        <rFont val="Times New Roman"/>
        <family val="1"/>
      </rPr>
      <t>APO07.02, DSS06.03</t>
    </r>
  </si>
  <si>
    <r>
      <t xml:space="preserve">·       </t>
    </r>
    <r>
      <rPr>
        <b/>
        <sz val="9"/>
        <color theme="1"/>
        <rFont val="Times New Roman"/>
        <family val="1"/>
      </rPr>
      <t xml:space="preserve">ISA 62443-2-1:2009 </t>
    </r>
    <r>
      <rPr>
        <sz val="9"/>
        <color theme="1"/>
        <rFont val="Times New Roman"/>
        <family val="1"/>
      </rPr>
      <t>4.3.2.4.2, 4.3.2.4.3</t>
    </r>
  </si>
  <si>
    <r>
      <t xml:space="preserve">·       </t>
    </r>
    <r>
      <rPr>
        <b/>
        <sz val="9"/>
        <color rgb="FF000000"/>
        <rFont val="Times New Roman"/>
        <family val="1"/>
      </rPr>
      <t xml:space="preserve">ISO/IEC 27001:2013 </t>
    </r>
    <r>
      <rPr>
        <sz val="9"/>
        <color rgb="FF000000"/>
        <rFont val="Times New Roman"/>
        <family val="1"/>
      </rPr>
      <t>A.6.1.1,</t>
    </r>
    <r>
      <rPr>
        <b/>
        <sz val="9"/>
        <color rgb="FF000000"/>
        <rFont val="Times New Roman"/>
        <family val="1"/>
      </rPr>
      <t xml:space="preserve"> </t>
    </r>
    <r>
      <rPr>
        <sz val="9"/>
        <color rgb="FF000000"/>
        <rFont val="Times New Roman"/>
        <family val="1"/>
      </rPr>
      <t xml:space="preserve">A.7.2.2 </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</si>
  <si>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AT-3, PM-13</t>
    </r>
  </si>
  <si>
    <r>
      <t xml:space="preserve">PR.AT-3: </t>
    </r>
    <r>
      <rPr>
        <sz val="9"/>
        <color rgb="FF000000"/>
        <rFont val="Times New Roman"/>
        <family val="1"/>
      </rPr>
      <t xml:space="preserve">Third-party stakeholders (e.g., suppliers, customers, partners) understand roles &amp; responsibilities </t>
    </r>
  </si>
  <si>
    <r>
      <t xml:space="preserve">·       </t>
    </r>
    <r>
      <rPr>
        <b/>
        <sz val="9"/>
        <color rgb="FF000000"/>
        <rFont val="Times New Roman"/>
        <family val="1"/>
      </rPr>
      <t>CCS</t>
    </r>
    <r>
      <rPr>
        <sz val="9"/>
        <color rgb="FF000000"/>
        <rFont val="Times New Roman"/>
        <family val="1"/>
      </rPr>
      <t xml:space="preserve"> </t>
    </r>
    <r>
      <rPr>
        <b/>
        <sz val="9"/>
        <color rgb="FF000000"/>
        <rFont val="Times New Roman"/>
        <family val="1"/>
      </rPr>
      <t>CSC</t>
    </r>
    <r>
      <rPr>
        <sz val="9"/>
        <color rgb="FF000000"/>
        <rFont val="Times New Roman"/>
        <family val="1"/>
      </rPr>
      <t xml:space="preserve"> 9</t>
    </r>
  </si>
  <si>
    <r>
      <t xml:space="preserve">·       </t>
    </r>
    <r>
      <rPr>
        <b/>
        <sz val="9"/>
        <color rgb="FF000000"/>
        <rFont val="Times New Roman"/>
        <family val="1"/>
      </rPr>
      <t xml:space="preserve">COBIT 5 </t>
    </r>
    <r>
      <rPr>
        <sz val="9"/>
        <color rgb="FF000000"/>
        <rFont val="Times New Roman"/>
        <family val="1"/>
      </rPr>
      <t>APO07.03, APO10.04, APO10.05</t>
    </r>
  </si>
  <si>
    <r>
      <t xml:space="preserve">·       </t>
    </r>
    <r>
      <rPr>
        <b/>
        <sz val="9"/>
        <color rgb="FF000000"/>
        <rFont val="Times New Roman"/>
        <family val="1"/>
      </rPr>
      <t xml:space="preserve">ISO/IEC 27001:2013 </t>
    </r>
    <r>
      <rPr>
        <sz val="9"/>
        <color rgb="FF000000"/>
        <rFont val="Times New Roman"/>
        <family val="1"/>
      </rPr>
      <t>A.6.1.1,</t>
    </r>
    <r>
      <rPr>
        <b/>
        <sz val="9"/>
        <color rgb="FF000000"/>
        <rFont val="Times New Roman"/>
        <family val="1"/>
      </rPr>
      <t xml:space="preserve"> </t>
    </r>
    <r>
      <rPr>
        <sz val="9"/>
        <color rgb="FF000000"/>
        <rFont val="Times New Roman"/>
        <family val="1"/>
      </rPr>
      <t>A.7.2.2</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</si>
  <si>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PS-7, SA-9</t>
    </r>
  </si>
  <si>
    <r>
      <t xml:space="preserve">PR.AT-4: </t>
    </r>
    <r>
      <rPr>
        <sz val="9"/>
        <color rgb="FF000000"/>
        <rFont val="Times New Roman"/>
        <family val="1"/>
      </rPr>
      <t xml:space="preserve">Senior executives understand roles &amp; responsibilities </t>
    </r>
  </si>
  <si>
    <r>
      <t xml:space="preserve">·       </t>
    </r>
    <r>
      <rPr>
        <b/>
        <sz val="9"/>
        <color rgb="FF000000"/>
        <rFont val="Times New Roman"/>
        <family val="1"/>
      </rPr>
      <t>COBIT 5</t>
    </r>
    <r>
      <rPr>
        <sz val="9"/>
        <color rgb="FF000000"/>
        <rFont val="Times New Roman"/>
        <family val="1"/>
      </rPr>
      <t xml:space="preserve"> APO07.03</t>
    </r>
  </si>
  <si>
    <r>
      <t xml:space="preserve">·       </t>
    </r>
    <r>
      <rPr>
        <b/>
        <sz val="9"/>
        <color rgb="FF000000"/>
        <rFont val="Times New Roman"/>
        <family val="1"/>
      </rPr>
      <t xml:space="preserve">ISO/IEC 27001:2013 </t>
    </r>
    <r>
      <rPr>
        <sz val="9"/>
        <color theme="1"/>
        <rFont val="Times New Roman"/>
        <family val="1"/>
      </rPr>
      <t xml:space="preserve">A.6.1.1, A.7.2.2, </t>
    </r>
  </si>
  <si>
    <r>
      <t xml:space="preserve">PR.AT-5: </t>
    </r>
    <r>
      <rPr>
        <sz val="9"/>
        <color rgb="FF000000"/>
        <rFont val="Times New Roman"/>
        <family val="1"/>
      </rPr>
      <t xml:space="preserve">Physical and information security personnel understand roles &amp; responsibilities </t>
    </r>
  </si>
  <si>
    <r>
      <t xml:space="preserve">·       </t>
    </r>
    <r>
      <rPr>
        <b/>
        <sz val="9"/>
        <color rgb="FF000000"/>
        <rFont val="Times New Roman"/>
        <family val="1"/>
      </rPr>
      <t xml:space="preserve">COBIT 5 </t>
    </r>
    <r>
      <rPr>
        <sz val="9"/>
        <color rgb="FF000000"/>
        <rFont val="Times New Roman"/>
        <family val="1"/>
      </rPr>
      <t>APO07.03</t>
    </r>
  </si>
  <si>
    <r>
      <t xml:space="preserve">Data Security (PR.DS): </t>
    </r>
    <r>
      <rPr>
        <sz val="9"/>
        <color theme="1"/>
        <rFont val="Times New Roman"/>
        <family val="1"/>
      </rPr>
      <t>Information and records (data) are managed consistent with the organization’s risk strategy to protect the confidentiality, integrity, and availability of information.</t>
    </r>
  </si>
  <si>
    <r>
      <t xml:space="preserve">PR.DS-1: </t>
    </r>
    <r>
      <rPr>
        <sz val="9"/>
        <color rgb="FF000000"/>
        <rFont val="Times New Roman"/>
        <family val="1"/>
      </rPr>
      <t>Data-at-rest is protected</t>
    </r>
  </si>
  <si>
    <r>
      <t xml:space="preserve">·       </t>
    </r>
    <r>
      <rPr>
        <b/>
        <sz val="9"/>
        <color rgb="FF000000"/>
        <rFont val="Times New Roman"/>
        <family val="1"/>
      </rPr>
      <t>CCS</t>
    </r>
    <r>
      <rPr>
        <sz val="9"/>
        <color rgb="FF000000"/>
        <rFont val="Times New Roman"/>
        <family val="1"/>
      </rPr>
      <t xml:space="preserve"> </t>
    </r>
    <r>
      <rPr>
        <b/>
        <sz val="9"/>
        <color rgb="FF000000"/>
        <rFont val="Times New Roman"/>
        <family val="1"/>
      </rPr>
      <t xml:space="preserve">CSC </t>
    </r>
    <r>
      <rPr>
        <sz val="9"/>
        <color rgb="FF000000"/>
        <rFont val="Times New Roman"/>
        <family val="1"/>
      </rPr>
      <t>17</t>
    </r>
  </si>
  <si>
    <r>
      <t xml:space="preserve">·       </t>
    </r>
    <r>
      <rPr>
        <b/>
        <sz val="9"/>
        <color rgb="FF000000"/>
        <rFont val="Times New Roman"/>
        <family val="1"/>
      </rPr>
      <t>COBIT 5</t>
    </r>
    <r>
      <rPr>
        <sz val="9"/>
        <color rgb="FF000000"/>
        <rFont val="Times New Roman"/>
        <family val="1"/>
      </rPr>
      <t xml:space="preserve"> APO01.06, BAI02.01, BAI06.01, DSS06.06</t>
    </r>
  </si>
  <si>
    <r>
      <t xml:space="preserve">·       </t>
    </r>
    <r>
      <rPr>
        <b/>
        <sz val="9"/>
        <color rgb="FF000000"/>
        <rFont val="Times New Roman"/>
        <family val="1"/>
      </rPr>
      <t>ISA 62443-3-3:2013</t>
    </r>
    <r>
      <rPr>
        <sz val="9"/>
        <color rgb="FF000000"/>
        <rFont val="Times New Roman"/>
        <family val="1"/>
      </rPr>
      <t xml:space="preserve"> SR 3.4, SR 4.1</t>
    </r>
  </si>
  <si>
    <r>
      <t xml:space="preserve">·       </t>
    </r>
    <r>
      <rPr>
        <b/>
        <sz val="9"/>
        <color rgb="FF000000"/>
        <rFont val="Times New Roman"/>
        <family val="1"/>
      </rPr>
      <t xml:space="preserve">ISO/IEC 27001:2013 </t>
    </r>
    <r>
      <rPr>
        <sz val="9"/>
        <color rgb="FF000000"/>
        <rFont val="Times New Roman"/>
        <family val="1"/>
      </rPr>
      <t>A.8.2.3</t>
    </r>
  </si>
  <si>
    <r>
      <t xml:space="preserve">·       </t>
    </r>
    <r>
      <rPr>
        <b/>
        <sz val="9"/>
        <color rgb="FF000000"/>
        <rFont val="Times New Roman"/>
        <family val="1"/>
      </rPr>
      <t>NIST SP 800-53 Rev. 4</t>
    </r>
    <r>
      <rPr>
        <sz val="9"/>
        <color rgb="FF000000"/>
        <rFont val="Times New Roman"/>
        <family val="1"/>
      </rPr>
      <t xml:space="preserve"> SC-28</t>
    </r>
  </si>
  <si>
    <r>
      <t xml:space="preserve">PR.DS-2: </t>
    </r>
    <r>
      <rPr>
        <sz val="9"/>
        <color rgb="FF000000"/>
        <rFont val="Times New Roman"/>
        <family val="1"/>
      </rPr>
      <t>Data-in-transit is protected</t>
    </r>
  </si>
  <si>
    <r>
      <t xml:space="preserve">·       </t>
    </r>
    <r>
      <rPr>
        <b/>
        <sz val="9"/>
        <color rgb="FF000000"/>
        <rFont val="Times New Roman"/>
        <family val="1"/>
      </rPr>
      <t xml:space="preserve">COBIT 5 </t>
    </r>
    <r>
      <rPr>
        <sz val="9"/>
        <color rgb="FF000000"/>
        <rFont val="Times New Roman"/>
        <family val="1"/>
      </rPr>
      <t>APO01.06, DSS06.06</t>
    </r>
  </si>
  <si>
    <r>
      <t xml:space="preserve">·       </t>
    </r>
    <r>
      <rPr>
        <b/>
        <sz val="9"/>
        <color rgb="FF000000"/>
        <rFont val="Times New Roman"/>
        <family val="1"/>
      </rPr>
      <t>ISA 62443-3-3:2013</t>
    </r>
    <r>
      <rPr>
        <sz val="9"/>
        <color rgb="FF000000"/>
        <rFont val="Times New Roman"/>
        <family val="1"/>
      </rPr>
      <t xml:space="preserve"> SR 3.1, SR 3.8, SR 4.1, SR 4.2</t>
    </r>
  </si>
  <si>
    <r>
      <t xml:space="preserve">·       </t>
    </r>
    <r>
      <rPr>
        <b/>
        <sz val="9"/>
        <color rgb="FF000000"/>
        <rFont val="Times New Roman"/>
        <family val="1"/>
      </rPr>
      <t xml:space="preserve">ISO/IEC 27001:2013 </t>
    </r>
    <r>
      <rPr>
        <sz val="9"/>
        <color theme="1"/>
        <rFont val="Times New Roman"/>
        <family val="1"/>
      </rPr>
      <t>A.8.2.3, A.13.1.1, A.13.2.1, A.13.2.3, A.14.1.2, A.14.1.3</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</si>
  <si>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SC-8</t>
    </r>
  </si>
  <si>
    <r>
      <t xml:space="preserve">PR.DS-3: </t>
    </r>
    <r>
      <rPr>
        <sz val="9"/>
        <color rgb="FF000000"/>
        <rFont val="Times New Roman"/>
        <family val="1"/>
      </rPr>
      <t>Assets are formally managed throughout removal, transfers, and disposition</t>
    </r>
  </si>
  <si>
    <r>
      <t xml:space="preserve">·       </t>
    </r>
    <r>
      <rPr>
        <b/>
        <sz val="9"/>
        <color rgb="FF000000"/>
        <rFont val="Times New Roman"/>
        <family val="1"/>
      </rPr>
      <t xml:space="preserve">COBIT 5 </t>
    </r>
    <r>
      <rPr>
        <sz val="9"/>
        <color rgb="FF000000"/>
        <rFont val="Times New Roman"/>
        <family val="1"/>
      </rPr>
      <t>BAI09.03</t>
    </r>
  </si>
  <si>
    <r>
      <t xml:space="preserve">·       </t>
    </r>
    <r>
      <rPr>
        <b/>
        <sz val="9"/>
        <color rgb="FF000000"/>
        <rFont val="Times New Roman"/>
        <family val="1"/>
      </rPr>
      <t>ISA 62443-2-1:2009</t>
    </r>
    <r>
      <rPr>
        <sz val="9"/>
        <color rgb="FF000000"/>
        <rFont val="Times New Roman"/>
        <family val="1"/>
      </rPr>
      <t xml:space="preserve"> 4. 4.3.3.3.9, 4.3.4.4.1</t>
    </r>
  </si>
  <si>
    <r>
      <t xml:space="preserve">·       </t>
    </r>
    <r>
      <rPr>
        <b/>
        <sz val="9"/>
        <color rgb="FF000000"/>
        <rFont val="Times New Roman"/>
        <family val="1"/>
      </rPr>
      <t>ISA 62443-3-3:2013</t>
    </r>
    <r>
      <rPr>
        <sz val="9"/>
        <color rgb="FF000000"/>
        <rFont val="Times New Roman"/>
        <family val="1"/>
      </rPr>
      <t xml:space="preserve"> SR 4.2</t>
    </r>
  </si>
  <si>
    <r>
      <t xml:space="preserve">·       </t>
    </r>
    <r>
      <rPr>
        <b/>
        <sz val="9"/>
        <color rgb="FF000000"/>
        <rFont val="Times New Roman"/>
        <family val="1"/>
      </rPr>
      <t xml:space="preserve">ISO/IEC 27001:2013 </t>
    </r>
    <r>
      <rPr>
        <sz val="9"/>
        <color rgb="FF000000"/>
        <rFont val="Times New Roman"/>
        <family val="1"/>
      </rPr>
      <t>A.8.2.3, A.8.3.1, A.8.3.2, A.8.3.3, A.11.2.7</t>
    </r>
  </si>
  <si>
    <r>
      <t xml:space="preserve">·       </t>
    </r>
    <r>
      <rPr>
        <b/>
        <sz val="9"/>
        <color rgb="FF000000"/>
        <rFont val="Times New Roman"/>
        <family val="1"/>
      </rPr>
      <t>NIST SP 800-53 Rev. 4</t>
    </r>
    <r>
      <rPr>
        <sz val="9"/>
        <color rgb="FF000000"/>
        <rFont val="Times New Roman"/>
        <family val="1"/>
      </rPr>
      <t xml:space="preserve"> CM-8, MP-6, PE-16</t>
    </r>
  </si>
  <si>
    <r>
      <t xml:space="preserve">PR.DS-4: </t>
    </r>
    <r>
      <rPr>
        <sz val="9"/>
        <color rgb="FF000000"/>
        <rFont val="Times New Roman"/>
        <family val="1"/>
      </rPr>
      <t>Adequate capacity to ensure availability is maintained</t>
    </r>
  </si>
  <si>
    <r>
      <t xml:space="preserve">·       </t>
    </r>
    <r>
      <rPr>
        <b/>
        <sz val="9"/>
        <color rgb="FF000000"/>
        <rFont val="Times New Roman"/>
        <family val="1"/>
      </rPr>
      <t xml:space="preserve">COBIT 5 </t>
    </r>
    <r>
      <rPr>
        <sz val="9"/>
        <color rgb="FF000000"/>
        <rFont val="Times New Roman"/>
        <family val="1"/>
      </rPr>
      <t>APO13.01</t>
    </r>
  </si>
  <si>
    <r>
      <t xml:space="preserve">·       </t>
    </r>
    <r>
      <rPr>
        <b/>
        <sz val="9"/>
        <color rgb="FF000000"/>
        <rFont val="Times New Roman"/>
        <family val="1"/>
      </rPr>
      <t>ISA 62443-3-3:2013</t>
    </r>
    <r>
      <rPr>
        <sz val="9"/>
        <color rgb="FF000000"/>
        <rFont val="Times New Roman"/>
        <family val="1"/>
      </rPr>
      <t xml:space="preserve"> SR 7.1, SR 7.2</t>
    </r>
  </si>
  <si>
    <r>
      <t xml:space="preserve">·       </t>
    </r>
    <r>
      <rPr>
        <b/>
        <sz val="9"/>
        <color rgb="FF000000"/>
        <rFont val="Times New Roman"/>
        <family val="1"/>
      </rPr>
      <t xml:space="preserve">ISO/IEC 27001:2013 </t>
    </r>
    <r>
      <rPr>
        <sz val="9"/>
        <color rgb="FF000000"/>
        <rFont val="Times New Roman"/>
        <family val="1"/>
      </rPr>
      <t>A.12.3.1</t>
    </r>
  </si>
  <si>
    <r>
      <t xml:space="preserve">·       </t>
    </r>
    <r>
      <rPr>
        <b/>
        <sz val="9"/>
        <color rgb="FF000000"/>
        <rFont val="Times New Roman"/>
        <family val="1"/>
      </rPr>
      <t>NIST SP 800-53 Rev. 4</t>
    </r>
    <r>
      <rPr>
        <sz val="9"/>
        <color rgb="FF000000"/>
        <rFont val="Times New Roman"/>
        <family val="1"/>
      </rPr>
      <t xml:space="preserve"> AU-4, CP-2, SC-5</t>
    </r>
  </si>
  <si>
    <r>
      <t xml:space="preserve">PR.DS-5: </t>
    </r>
    <r>
      <rPr>
        <sz val="9"/>
        <color rgb="FF000000"/>
        <rFont val="Times New Roman"/>
        <family val="1"/>
      </rPr>
      <t>Protections against data leaks are implemented</t>
    </r>
  </si>
  <si>
    <r>
      <t xml:space="preserve">·       </t>
    </r>
    <r>
      <rPr>
        <b/>
        <sz val="9"/>
        <color rgb="FF000000"/>
        <rFont val="Times New Roman"/>
        <family val="1"/>
      </rPr>
      <t>CCS CSC</t>
    </r>
    <r>
      <rPr>
        <sz val="9"/>
        <color rgb="FF000000"/>
        <rFont val="Times New Roman"/>
        <family val="1"/>
      </rPr>
      <t xml:space="preserve"> 17</t>
    </r>
  </si>
  <si>
    <r>
      <t xml:space="preserve">·       </t>
    </r>
    <r>
      <rPr>
        <b/>
        <sz val="9"/>
        <color rgb="FF000000"/>
        <rFont val="Times New Roman"/>
        <family val="1"/>
      </rPr>
      <t xml:space="preserve">COBIT 5 </t>
    </r>
    <r>
      <rPr>
        <sz val="9"/>
        <color rgb="FF000000"/>
        <rFont val="Times New Roman"/>
        <family val="1"/>
      </rPr>
      <t>APO01.06</t>
    </r>
  </si>
  <si>
    <r>
      <t xml:space="preserve">·       </t>
    </r>
    <r>
      <rPr>
        <b/>
        <sz val="9"/>
        <color rgb="FF000000"/>
        <rFont val="Times New Roman"/>
        <family val="1"/>
      </rPr>
      <t>ISA 62443-3-3:2013</t>
    </r>
    <r>
      <rPr>
        <sz val="9"/>
        <color rgb="FF000000"/>
        <rFont val="Times New Roman"/>
        <family val="1"/>
      </rPr>
      <t xml:space="preserve"> SR 5.2</t>
    </r>
  </si>
  <si>
    <r>
      <t xml:space="preserve">·       </t>
    </r>
    <r>
      <rPr>
        <b/>
        <sz val="9"/>
        <color rgb="FF000000"/>
        <rFont val="Times New Roman"/>
        <family val="1"/>
      </rPr>
      <t xml:space="preserve">ISO/IEC 27001:2013 </t>
    </r>
    <r>
      <rPr>
        <sz val="9"/>
        <color rgb="FF000000"/>
        <rFont val="Times New Roman"/>
        <family val="1"/>
      </rPr>
      <t>A.6.1.2,</t>
    </r>
    <r>
      <rPr>
        <b/>
        <sz val="9"/>
        <color rgb="FF000000"/>
        <rFont val="Times New Roman"/>
        <family val="1"/>
      </rPr>
      <t xml:space="preserve"> </t>
    </r>
    <r>
      <rPr>
        <sz val="9"/>
        <color rgb="FF000000"/>
        <rFont val="Times New Roman"/>
        <family val="1"/>
      </rPr>
      <t>A.7.1.1,</t>
    </r>
    <r>
      <rPr>
        <b/>
        <sz val="9"/>
        <color rgb="FF000000"/>
        <rFont val="Times New Roman"/>
        <family val="1"/>
      </rPr>
      <t xml:space="preserve"> </t>
    </r>
    <r>
      <rPr>
        <sz val="9"/>
        <color rgb="FF000000"/>
        <rFont val="Times New Roman"/>
        <family val="1"/>
      </rPr>
      <t>A.7.1.2, A.7.3.1,</t>
    </r>
    <r>
      <rPr>
        <b/>
        <sz val="9"/>
        <color rgb="FF000000"/>
        <rFont val="Times New Roman"/>
        <family val="1"/>
      </rPr>
      <t xml:space="preserve"> </t>
    </r>
    <r>
      <rPr>
        <sz val="9"/>
        <color rgb="FF000000"/>
        <rFont val="Times New Roman"/>
        <family val="1"/>
      </rPr>
      <t>A.8.2.2, A.8.2.3, A.9.1.1, A.9.1.2, A.9.2.3, A.9.4.1, A.9.4.4, A.9.4.5, A.13.1.3, A.13.2.1, A.13.2.3, A.13.2.4, A.14.1.2, A.14.1.3</t>
    </r>
  </si>
  <si>
    <r>
      <t xml:space="preserve">·       </t>
    </r>
    <r>
      <rPr>
        <b/>
        <sz val="9"/>
        <color rgb="FF000000"/>
        <rFont val="Times New Roman"/>
        <family val="1"/>
      </rPr>
      <t>NIST SP 800-53 Rev. 4</t>
    </r>
    <r>
      <rPr>
        <sz val="9"/>
        <color rgb="FF000000"/>
        <rFont val="Times New Roman"/>
        <family val="1"/>
      </rPr>
      <t xml:space="preserve"> AC-4, AC-5, AC-6, PE-19, PS-3, PS-6, SC-7, SC-8, SC-13, SC-31, SI-4</t>
    </r>
  </si>
  <si>
    <r>
      <t xml:space="preserve">PR.DS-6: </t>
    </r>
    <r>
      <rPr>
        <sz val="9"/>
        <color rgb="FF000000"/>
        <rFont val="Times New Roman"/>
        <family val="1"/>
      </rPr>
      <t>Integrity checking mechanisms are used to verify software, firmware, and information integrity</t>
    </r>
  </si>
  <si>
    <r>
      <t xml:space="preserve">·       </t>
    </r>
    <r>
      <rPr>
        <b/>
        <sz val="9"/>
        <color rgb="FF000000"/>
        <rFont val="Times New Roman"/>
        <family val="1"/>
      </rPr>
      <t>ISA 62443-3-3:2013</t>
    </r>
    <r>
      <rPr>
        <sz val="9"/>
        <color rgb="FF000000"/>
        <rFont val="Times New Roman"/>
        <family val="1"/>
      </rPr>
      <t xml:space="preserve"> SR 3.1, SR 3.3, SR 3.4, SR 3.8</t>
    </r>
  </si>
  <si>
    <r>
      <t xml:space="preserve">·       </t>
    </r>
    <r>
      <rPr>
        <b/>
        <sz val="9"/>
        <color rgb="FF000000"/>
        <rFont val="Times New Roman"/>
        <family val="1"/>
      </rPr>
      <t xml:space="preserve">ISO/IEC 27001:2013 </t>
    </r>
    <r>
      <rPr>
        <sz val="9"/>
        <color theme="1"/>
        <rFont val="Times New Roman"/>
        <family val="1"/>
      </rPr>
      <t>A.12.2.1, A.12.5.1, A.14.1.2, A.14.1.3</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</si>
  <si>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SI-7</t>
    </r>
  </si>
  <si>
    <r>
      <t xml:space="preserve">PR.DS-7: </t>
    </r>
    <r>
      <rPr>
        <sz val="9"/>
        <color rgb="FF000000"/>
        <rFont val="Times New Roman"/>
        <family val="1"/>
      </rPr>
      <t>The development and testing environment(s) are separate from the production environment</t>
    </r>
  </si>
  <si>
    <r>
      <t xml:space="preserve">·       </t>
    </r>
    <r>
      <rPr>
        <b/>
        <sz val="9"/>
        <color rgb="FF000000"/>
        <rFont val="Times New Roman"/>
        <family val="1"/>
      </rPr>
      <t xml:space="preserve">COBIT 5 </t>
    </r>
    <r>
      <rPr>
        <sz val="9"/>
        <color rgb="FF000000"/>
        <rFont val="Times New Roman"/>
        <family val="1"/>
      </rPr>
      <t>BAI07.04</t>
    </r>
  </si>
  <si>
    <r>
      <t xml:space="preserve">·       </t>
    </r>
    <r>
      <rPr>
        <b/>
        <sz val="9"/>
        <color rgb="FF000000"/>
        <rFont val="Times New Roman"/>
        <family val="1"/>
      </rPr>
      <t xml:space="preserve">ISO/IEC 27001:2013 </t>
    </r>
    <r>
      <rPr>
        <sz val="9"/>
        <color rgb="FF000000"/>
        <rFont val="Times New Roman"/>
        <family val="1"/>
      </rPr>
      <t>A.12.1.4</t>
    </r>
  </si>
  <si>
    <r>
      <t xml:space="preserve">·       </t>
    </r>
    <r>
      <rPr>
        <b/>
        <sz val="9"/>
        <color rgb="FF000000"/>
        <rFont val="Times New Roman"/>
        <family val="1"/>
      </rPr>
      <t xml:space="preserve">NIST SP 800-53 Rev. 4 </t>
    </r>
    <r>
      <rPr>
        <sz val="9"/>
        <color rgb="FF000000"/>
        <rFont val="Times New Roman"/>
        <family val="1"/>
      </rPr>
      <t>CM-2</t>
    </r>
  </si>
  <si>
    <r>
      <t xml:space="preserve">Information Protection Processes and Procedures (PR.IP): </t>
    </r>
    <r>
      <rPr>
        <sz val="9"/>
        <color theme="1"/>
        <rFont val="Times New Roman"/>
        <family val="1"/>
      </rPr>
      <t>Security policies (that address purpose, scope, roles, responsibilities, management commitment, and coordination among organizational entities), processes, and procedures are maintained and used to manage protection of information systems and assets.</t>
    </r>
  </si>
  <si>
    <r>
      <t xml:space="preserve">PR.IP-1: </t>
    </r>
    <r>
      <rPr>
        <sz val="9"/>
        <color rgb="FF000000"/>
        <rFont val="Times New Roman"/>
        <family val="1"/>
      </rPr>
      <t>A baseline configuration of information technology/industrial control systems is created and maintained</t>
    </r>
  </si>
  <si>
    <r>
      <t xml:space="preserve">·       </t>
    </r>
    <r>
      <rPr>
        <b/>
        <sz val="9"/>
        <color rgb="FF000000"/>
        <rFont val="Times New Roman"/>
        <family val="1"/>
      </rPr>
      <t>CCS</t>
    </r>
    <r>
      <rPr>
        <sz val="9"/>
        <color rgb="FF000000"/>
        <rFont val="Times New Roman"/>
        <family val="1"/>
      </rPr>
      <t xml:space="preserve"> </t>
    </r>
    <r>
      <rPr>
        <b/>
        <sz val="9"/>
        <color rgb="FF000000"/>
        <rFont val="Times New Roman"/>
        <family val="1"/>
      </rPr>
      <t>CSC</t>
    </r>
    <r>
      <rPr>
        <sz val="9"/>
        <color rgb="FF000000"/>
        <rFont val="Times New Roman"/>
        <family val="1"/>
      </rPr>
      <t xml:space="preserve"> 3, 10</t>
    </r>
  </si>
  <si>
    <r>
      <t xml:space="preserve">·       </t>
    </r>
    <r>
      <rPr>
        <b/>
        <sz val="9"/>
        <color rgb="FF000000"/>
        <rFont val="Times New Roman"/>
        <family val="1"/>
      </rPr>
      <t xml:space="preserve">COBIT 5 </t>
    </r>
    <r>
      <rPr>
        <sz val="9"/>
        <color rgb="FF000000"/>
        <rFont val="Times New Roman"/>
        <family val="1"/>
      </rPr>
      <t>BAI10.01, BAI10.02, BAI10.03, BAI10.05</t>
    </r>
  </si>
  <si>
    <r>
      <t xml:space="preserve">·       </t>
    </r>
    <r>
      <rPr>
        <b/>
        <sz val="9"/>
        <color theme="1"/>
        <rFont val="Times New Roman"/>
        <family val="1"/>
      </rPr>
      <t xml:space="preserve">ISA 62443-2-1:2009 </t>
    </r>
    <r>
      <rPr>
        <sz val="9"/>
        <color theme="1"/>
        <rFont val="Times New Roman"/>
        <family val="1"/>
      </rPr>
      <t>4.3.4.3.2, 4.3.4.3.3</t>
    </r>
  </si>
  <si>
    <r>
      <t xml:space="preserve">·       </t>
    </r>
    <r>
      <rPr>
        <b/>
        <sz val="9"/>
        <color theme="1"/>
        <rFont val="Times New Roman"/>
        <family val="1"/>
      </rPr>
      <t>ISA 62443-3-3:2013</t>
    </r>
    <r>
      <rPr>
        <sz val="9"/>
        <color theme="1"/>
        <rFont val="Times New Roman"/>
        <family val="1"/>
      </rPr>
      <t xml:space="preserve"> SR 7.6</t>
    </r>
  </si>
  <si>
    <r>
      <t xml:space="preserve">·       </t>
    </r>
    <r>
      <rPr>
        <b/>
        <sz val="9"/>
        <color rgb="FF000000"/>
        <rFont val="Times New Roman"/>
        <family val="1"/>
      </rPr>
      <t xml:space="preserve">ISO/IEC 27001:2013 </t>
    </r>
    <r>
      <rPr>
        <sz val="9"/>
        <color rgb="FF000000"/>
        <rFont val="Times New Roman"/>
        <family val="1"/>
      </rPr>
      <t>A.12.1.2, A.12.5.1, A.12.6.2, A.14.2.2, A.14.2.3, A.14.2.4</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</si>
  <si>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CM-2, CM-3, CM-4, CM-5, CM-6, CM-7, CM-9, SA-10</t>
    </r>
  </si>
  <si>
    <r>
      <t xml:space="preserve">PR.IP-2: </t>
    </r>
    <r>
      <rPr>
        <sz val="9"/>
        <color rgb="FF000000"/>
        <rFont val="Times New Roman"/>
        <family val="1"/>
      </rPr>
      <t>A System Development Life Cycle to manage systems is implemented</t>
    </r>
  </si>
  <si>
    <r>
      <t xml:space="preserve">·       </t>
    </r>
    <r>
      <rPr>
        <b/>
        <sz val="9"/>
        <color theme="1"/>
        <rFont val="Times New Roman"/>
        <family val="1"/>
      </rPr>
      <t xml:space="preserve">ISA 62443-2-1:2009 </t>
    </r>
    <r>
      <rPr>
        <sz val="9"/>
        <color theme="1"/>
        <rFont val="Times New Roman"/>
        <family val="1"/>
      </rPr>
      <t>4.3.4.3.3</t>
    </r>
  </si>
  <si>
    <r>
      <t xml:space="preserve">·       </t>
    </r>
    <r>
      <rPr>
        <b/>
        <sz val="9"/>
        <color rgb="FF000000"/>
        <rFont val="Times New Roman"/>
        <family val="1"/>
      </rPr>
      <t xml:space="preserve">ISO/IEC 27001:2013 </t>
    </r>
    <r>
      <rPr>
        <sz val="9"/>
        <color rgb="FF000000"/>
        <rFont val="Times New Roman"/>
        <family val="1"/>
      </rPr>
      <t>A.6.1.5, A.14.1.1, A.14.2.1, A.14.2.5</t>
    </r>
  </si>
  <si>
    <r>
      <t xml:space="preserve">·       </t>
    </r>
    <r>
      <rPr>
        <b/>
        <sz val="9"/>
        <color rgb="FF000000"/>
        <rFont val="Times New Roman"/>
        <family val="1"/>
      </rPr>
      <t>NIST SP 800-53 Rev. 4</t>
    </r>
    <r>
      <rPr>
        <sz val="9"/>
        <color rgb="FF000000"/>
        <rFont val="Times New Roman"/>
        <family val="1"/>
      </rPr>
      <t xml:space="preserve"> SA-3, SA-4, SA-8, SA-10, SA-11, SA-12, SA-15, SA-17, PL-8</t>
    </r>
  </si>
  <si>
    <r>
      <t xml:space="preserve">PR.IP-3: </t>
    </r>
    <r>
      <rPr>
        <sz val="9"/>
        <color rgb="FF000000"/>
        <rFont val="Times New Roman"/>
        <family val="1"/>
      </rPr>
      <t>Configuration change control processes are in place</t>
    </r>
  </si>
  <si>
    <r>
      <t xml:space="preserve">·       </t>
    </r>
    <r>
      <rPr>
        <b/>
        <sz val="9"/>
        <color rgb="FF000000"/>
        <rFont val="Times New Roman"/>
        <family val="1"/>
      </rPr>
      <t xml:space="preserve">COBIT 5 </t>
    </r>
    <r>
      <rPr>
        <sz val="9"/>
        <color rgb="FF000000"/>
        <rFont val="Times New Roman"/>
        <family val="1"/>
      </rPr>
      <t>BAI06.01, BAI01.06</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</si>
  <si>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CM-3, CM-4, SA-10</t>
    </r>
  </si>
  <si>
    <r>
      <t xml:space="preserve">PR.IP-4: </t>
    </r>
    <r>
      <rPr>
        <sz val="9"/>
        <color rgb="FF000000"/>
        <rFont val="Times New Roman"/>
        <family val="1"/>
      </rPr>
      <t>Backups of information are conducted, maintained, and tested periodically</t>
    </r>
  </si>
  <si>
    <r>
      <t xml:space="preserve">·       </t>
    </r>
    <r>
      <rPr>
        <b/>
        <sz val="9"/>
        <color rgb="FF000000"/>
        <rFont val="Times New Roman"/>
        <family val="1"/>
      </rPr>
      <t xml:space="preserve">COBIT 5 </t>
    </r>
    <r>
      <rPr>
        <sz val="9"/>
        <color rgb="FF000000"/>
        <rFont val="Times New Roman"/>
        <family val="1"/>
      </rPr>
      <t xml:space="preserve">APO13.01 </t>
    </r>
  </si>
  <si>
    <r>
      <t xml:space="preserve">·       </t>
    </r>
    <r>
      <rPr>
        <b/>
        <sz val="9"/>
        <color theme="1"/>
        <rFont val="Times New Roman"/>
        <family val="1"/>
      </rPr>
      <t xml:space="preserve">ISA 62443-2-1:2009 </t>
    </r>
    <r>
      <rPr>
        <sz val="9"/>
        <color theme="1"/>
        <rFont val="Times New Roman"/>
        <family val="1"/>
      </rPr>
      <t>4.3.4.3.9</t>
    </r>
  </si>
  <si>
    <r>
      <t xml:space="preserve">·       </t>
    </r>
    <r>
      <rPr>
        <b/>
        <sz val="9"/>
        <color theme="1"/>
        <rFont val="Times New Roman"/>
        <family val="1"/>
      </rPr>
      <t>ISA 62443-3-3:2013</t>
    </r>
    <r>
      <rPr>
        <sz val="9"/>
        <color theme="1"/>
        <rFont val="Times New Roman"/>
        <family val="1"/>
      </rPr>
      <t xml:space="preserve"> SR 7.3, SR 7.4</t>
    </r>
  </si>
  <si>
    <r>
      <t xml:space="preserve">·       </t>
    </r>
    <r>
      <rPr>
        <b/>
        <sz val="9"/>
        <color rgb="FF000000"/>
        <rFont val="Times New Roman"/>
        <family val="1"/>
      </rPr>
      <t xml:space="preserve">ISO/IEC 27001:2013 </t>
    </r>
    <r>
      <rPr>
        <sz val="9"/>
        <color rgb="FF000000"/>
        <rFont val="Times New Roman"/>
        <family val="1"/>
      </rPr>
      <t>A.12.3.1,</t>
    </r>
    <r>
      <rPr>
        <b/>
        <sz val="9"/>
        <color rgb="FF000000"/>
        <rFont val="Times New Roman"/>
        <family val="1"/>
      </rPr>
      <t xml:space="preserve"> </t>
    </r>
    <r>
      <rPr>
        <sz val="9"/>
        <color rgb="FF000000"/>
        <rFont val="Times New Roman"/>
        <family val="1"/>
      </rPr>
      <t>A.17.1.2A.17.1.3, A.18.1.3</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</si>
  <si>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CP-4, CP-6, </t>
    </r>
    <r>
      <rPr>
        <sz val="9"/>
        <color rgb="FF000000"/>
        <rFont val="Times New Roman"/>
        <family val="1"/>
      </rPr>
      <t>CP-9</t>
    </r>
  </si>
  <si>
    <r>
      <t xml:space="preserve">PR.IP-5: </t>
    </r>
    <r>
      <rPr>
        <sz val="9"/>
        <color rgb="FF000000"/>
        <rFont val="Times New Roman"/>
        <family val="1"/>
      </rPr>
      <t>Policy and regulations regarding the physical operating environment for organizational assets are met</t>
    </r>
  </si>
  <si>
    <r>
      <t xml:space="preserve">·       </t>
    </r>
    <r>
      <rPr>
        <b/>
        <sz val="9"/>
        <color theme="1"/>
        <rFont val="Times New Roman"/>
        <family val="1"/>
      </rPr>
      <t xml:space="preserve">COBIT 5 </t>
    </r>
    <r>
      <rPr>
        <sz val="9"/>
        <color theme="1"/>
        <rFont val="Times New Roman"/>
        <family val="1"/>
      </rPr>
      <t>DSS01.04, DSS05.05</t>
    </r>
  </si>
  <si>
    <r>
      <t xml:space="preserve">·       </t>
    </r>
    <r>
      <rPr>
        <b/>
        <sz val="9"/>
        <color theme="1"/>
        <rFont val="Times New Roman"/>
        <family val="1"/>
      </rPr>
      <t>ISA 62443-2-1:2009</t>
    </r>
    <r>
      <rPr>
        <sz val="9"/>
        <color theme="1"/>
        <rFont val="Times New Roman"/>
        <family val="1"/>
      </rPr>
      <t xml:space="preserve"> 4.3.3.3.1 4.3.3.3.2, 4.3.3.3.3, 4.3.3.3.5, 4.3.3.3.6</t>
    </r>
  </si>
  <si>
    <r>
      <t xml:space="preserve">·       </t>
    </r>
    <r>
      <rPr>
        <b/>
        <sz val="9"/>
        <color theme="1"/>
        <rFont val="Times New Roman"/>
        <family val="1"/>
      </rPr>
      <t xml:space="preserve">ISO/IEC 27001:2013 </t>
    </r>
    <r>
      <rPr>
        <sz val="9"/>
        <color theme="1"/>
        <rFont val="Times New Roman"/>
        <family val="1"/>
      </rPr>
      <t>A.11.1.4, A.11.2.1, A.11.2.2, A.11.2.3</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</si>
  <si>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PE-10, PE-12, PE-13, PE-14, PE-15, PE-18</t>
    </r>
  </si>
  <si>
    <r>
      <t xml:space="preserve">PR.IP-6: </t>
    </r>
    <r>
      <rPr>
        <sz val="9"/>
        <color rgb="FF000000"/>
        <rFont val="Times New Roman"/>
        <family val="1"/>
      </rPr>
      <t>Data is destroyed according to policy</t>
    </r>
  </si>
  <si>
    <r>
      <t xml:space="preserve">·       </t>
    </r>
    <r>
      <rPr>
        <b/>
        <sz val="9"/>
        <color theme="1"/>
        <rFont val="Times New Roman"/>
        <family val="1"/>
      </rPr>
      <t xml:space="preserve">COBIT 5 </t>
    </r>
    <r>
      <rPr>
        <sz val="9"/>
        <color theme="1"/>
        <rFont val="Times New Roman"/>
        <family val="1"/>
      </rPr>
      <t>BAI09.03</t>
    </r>
  </si>
  <si>
    <r>
      <t xml:space="preserve">·       </t>
    </r>
    <r>
      <rPr>
        <b/>
        <sz val="9"/>
        <color theme="1"/>
        <rFont val="Times New Roman"/>
        <family val="1"/>
      </rPr>
      <t>ISA 62443-2-1:2009</t>
    </r>
    <r>
      <rPr>
        <sz val="9"/>
        <color theme="1"/>
        <rFont val="Times New Roman"/>
        <family val="1"/>
      </rPr>
      <t xml:space="preserve"> 4.3.4.4.4</t>
    </r>
  </si>
  <si>
    <r>
      <t xml:space="preserve">·       </t>
    </r>
    <r>
      <rPr>
        <b/>
        <sz val="9"/>
        <color theme="1"/>
        <rFont val="Times New Roman"/>
        <family val="1"/>
      </rPr>
      <t>ISA 62443-3-3:2013</t>
    </r>
    <r>
      <rPr>
        <sz val="9"/>
        <color theme="1"/>
        <rFont val="Times New Roman"/>
        <family val="1"/>
      </rPr>
      <t xml:space="preserve"> SR 4.2</t>
    </r>
  </si>
  <si>
    <r>
      <t xml:space="preserve">·       </t>
    </r>
    <r>
      <rPr>
        <b/>
        <sz val="9"/>
        <color theme="1"/>
        <rFont val="Times New Roman"/>
        <family val="1"/>
      </rPr>
      <t xml:space="preserve">ISO/IEC 27001:2013 </t>
    </r>
    <r>
      <rPr>
        <sz val="9"/>
        <color theme="1"/>
        <rFont val="Times New Roman"/>
        <family val="1"/>
      </rPr>
      <t>A.8.2.3, A.8.3.1, A.8.3.2, A.11.2.7</t>
    </r>
  </si>
  <si>
    <r>
      <t xml:space="preserve">·       </t>
    </r>
    <r>
      <rPr>
        <b/>
        <sz val="9"/>
        <color rgb="FF000000"/>
        <rFont val="Times New Roman"/>
        <family val="1"/>
      </rPr>
      <t>NIST SP 800-53 Rev. 4</t>
    </r>
    <r>
      <rPr>
        <sz val="9"/>
        <color rgb="FF000000"/>
        <rFont val="Times New Roman"/>
        <family val="1"/>
      </rPr>
      <t xml:space="preserve"> MP-6</t>
    </r>
  </si>
  <si>
    <r>
      <t xml:space="preserve">PR.IP-7: </t>
    </r>
    <r>
      <rPr>
        <sz val="9"/>
        <color rgb="FF000000"/>
        <rFont val="Times New Roman"/>
        <family val="1"/>
      </rPr>
      <t>Protection processes are continuously improved</t>
    </r>
  </si>
  <si>
    <r>
      <t xml:space="preserve">·       </t>
    </r>
    <r>
      <rPr>
        <b/>
        <sz val="9"/>
        <color theme="1"/>
        <rFont val="Times New Roman"/>
        <family val="1"/>
      </rPr>
      <t xml:space="preserve">COBIT 5 </t>
    </r>
    <r>
      <rPr>
        <sz val="9"/>
        <color theme="1"/>
        <rFont val="Times New Roman"/>
        <family val="1"/>
      </rPr>
      <t>APO11.06, DSS04.05</t>
    </r>
  </si>
  <si>
    <r>
      <t xml:space="preserve">·       </t>
    </r>
    <r>
      <rPr>
        <b/>
        <sz val="9"/>
        <color theme="1"/>
        <rFont val="Times New Roman"/>
        <family val="1"/>
      </rPr>
      <t>ISA 62443-2-1:2009</t>
    </r>
    <r>
      <rPr>
        <sz val="9"/>
        <color theme="1"/>
        <rFont val="Times New Roman"/>
        <family val="1"/>
      </rPr>
      <t xml:space="preserve"> 4.4.3.1, 4.4.3.2, 4.4.3.3, 4.4.3.4, 4.4.3.5, 4.4.3.6, 4.4.3.7, 4.4.3.8</t>
    </r>
  </si>
  <si>
    <r>
      <t xml:space="preserve">·      </t>
    </r>
    <r>
      <rPr>
        <b/>
        <sz val="9"/>
        <color theme="1"/>
        <rFont val="Times New Roman"/>
        <family val="1"/>
      </rPr>
      <t xml:space="preserve">NIST SP 800-53 Rev. 4 </t>
    </r>
    <r>
      <rPr>
        <sz val="9"/>
        <color theme="1"/>
        <rFont val="Times New Roman"/>
        <family val="1"/>
      </rPr>
      <t>CA-2, CA-7, CP-2, IR-8, PL-2, PM-6</t>
    </r>
  </si>
  <si>
    <r>
      <t xml:space="preserve">PR.IP-8: </t>
    </r>
    <r>
      <rPr>
        <sz val="9"/>
        <color rgb="FF000000"/>
        <rFont val="Times New Roman"/>
        <family val="1"/>
      </rPr>
      <t>Effectiveness of protection technologies is shared with appropriate parties</t>
    </r>
  </si>
  <si>
    <r>
      <t xml:space="preserve">·       </t>
    </r>
    <r>
      <rPr>
        <b/>
        <sz val="9"/>
        <color rgb="FF000000"/>
        <rFont val="Times New Roman"/>
        <family val="1"/>
      </rPr>
      <t xml:space="preserve">ISO/IEC 27001:2013 </t>
    </r>
    <r>
      <rPr>
        <sz val="9"/>
        <color rgb="FF000000"/>
        <rFont val="Times New Roman"/>
        <family val="1"/>
      </rPr>
      <t xml:space="preserve">A.16.1.6 </t>
    </r>
  </si>
  <si>
    <r>
      <t xml:space="preserve">·       </t>
    </r>
    <r>
      <rPr>
        <b/>
        <sz val="9"/>
        <color theme="1"/>
        <rFont val="Times New Roman"/>
        <family val="1"/>
      </rPr>
      <t>NIST SP 800-53 Rev. 4</t>
    </r>
    <r>
      <rPr>
        <sz val="9"/>
        <color theme="1"/>
        <rFont val="Times New Roman"/>
        <family val="1"/>
      </rPr>
      <t xml:space="preserve"> AC-21, CA-7, SI-4</t>
    </r>
  </si>
  <si>
    <r>
      <t xml:space="preserve">PR.IP-9: </t>
    </r>
    <r>
      <rPr>
        <sz val="9"/>
        <color rgb="FF000000"/>
        <rFont val="Times New Roman"/>
        <family val="1"/>
      </rPr>
      <t>Response plans (Incident Response and Business Continuity) and recovery plans (Incident Recovery and Disaster Recovery) are in place and managed</t>
    </r>
  </si>
  <si>
    <r>
      <t xml:space="preserve">·       </t>
    </r>
    <r>
      <rPr>
        <b/>
        <sz val="9"/>
        <color rgb="FF000000"/>
        <rFont val="Times New Roman"/>
        <family val="1"/>
      </rPr>
      <t xml:space="preserve">COBIT 5 </t>
    </r>
    <r>
      <rPr>
        <sz val="9"/>
        <color rgb="FF000000"/>
        <rFont val="Times New Roman"/>
        <family val="1"/>
      </rPr>
      <t>DSS04.03</t>
    </r>
  </si>
  <si>
    <r>
      <t xml:space="preserve">·       </t>
    </r>
    <r>
      <rPr>
        <b/>
        <sz val="9"/>
        <color rgb="FF000000"/>
        <rFont val="Times New Roman"/>
        <family val="1"/>
      </rPr>
      <t>ISA 62443-2-1:2009</t>
    </r>
    <r>
      <rPr>
        <sz val="9"/>
        <color rgb="FF000000"/>
        <rFont val="Times New Roman"/>
        <family val="1"/>
      </rPr>
      <t xml:space="preserve"> 4.3.2.5.3, 4.3.4.5.1 </t>
    </r>
  </si>
  <si>
    <r>
      <t xml:space="preserve">·       </t>
    </r>
    <r>
      <rPr>
        <b/>
        <sz val="9"/>
        <color rgb="FF000000"/>
        <rFont val="Times New Roman"/>
        <family val="1"/>
      </rPr>
      <t xml:space="preserve">ISO/IEC 27001:2013 </t>
    </r>
    <r>
      <rPr>
        <sz val="9"/>
        <color rgb="FF000000"/>
        <rFont val="Times New Roman"/>
        <family val="1"/>
      </rPr>
      <t>A.16.1.1,</t>
    </r>
    <r>
      <rPr>
        <b/>
        <sz val="9"/>
        <color rgb="FF000000"/>
        <rFont val="Times New Roman"/>
        <family val="1"/>
      </rPr>
      <t xml:space="preserve"> </t>
    </r>
    <r>
      <rPr>
        <sz val="9"/>
        <color rgb="FF000000"/>
        <rFont val="Times New Roman"/>
        <family val="1"/>
      </rPr>
      <t>A.17.1.1, A.17.1.2</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</si>
  <si>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CP-2, IR-8</t>
    </r>
  </si>
  <si>
    <r>
      <t xml:space="preserve">PR.IP-10: </t>
    </r>
    <r>
      <rPr>
        <sz val="9"/>
        <color rgb="FF000000"/>
        <rFont val="Times New Roman"/>
        <family val="1"/>
      </rPr>
      <t>Response and recovery plans are tested</t>
    </r>
  </si>
  <si>
    <r>
      <t xml:space="preserve">·       </t>
    </r>
    <r>
      <rPr>
        <b/>
        <sz val="9"/>
        <color theme="1"/>
        <rFont val="Times New Roman"/>
        <family val="1"/>
      </rPr>
      <t>ISA 62443-2-1:2009</t>
    </r>
    <r>
      <rPr>
        <sz val="9"/>
        <color theme="1"/>
        <rFont val="Times New Roman"/>
        <family val="1"/>
      </rPr>
      <t xml:space="preserve"> 4.3.2.5.7, 4.3.4.5.11</t>
    </r>
  </si>
  <si>
    <r>
      <t xml:space="preserve">·       </t>
    </r>
    <r>
      <rPr>
        <b/>
        <sz val="9"/>
        <color theme="1"/>
        <rFont val="Times New Roman"/>
        <family val="1"/>
      </rPr>
      <t>ISA 62443-3-3:2013</t>
    </r>
    <r>
      <rPr>
        <sz val="9"/>
        <color theme="1"/>
        <rFont val="Times New Roman"/>
        <family val="1"/>
      </rPr>
      <t xml:space="preserve"> SR 3.3</t>
    </r>
  </si>
  <si>
    <r>
      <t xml:space="preserve">·       </t>
    </r>
    <r>
      <rPr>
        <b/>
        <sz val="9"/>
        <color theme="1"/>
        <rFont val="Times New Roman"/>
        <family val="1"/>
      </rPr>
      <t xml:space="preserve">ISO/IEC 27001:2013 </t>
    </r>
    <r>
      <rPr>
        <sz val="9"/>
        <color theme="1"/>
        <rFont val="Times New Roman"/>
        <family val="1"/>
      </rPr>
      <t>A.17.1.3</t>
    </r>
  </si>
  <si>
    <r>
      <t xml:space="preserve">·       </t>
    </r>
    <r>
      <rPr>
        <b/>
        <sz val="9"/>
        <color theme="1"/>
        <rFont val="Times New Roman"/>
        <family val="1"/>
      </rPr>
      <t>NIST SP 800-53 Rev.4</t>
    </r>
    <r>
      <rPr>
        <sz val="9"/>
        <color theme="1"/>
        <rFont val="Times New Roman"/>
        <family val="1"/>
      </rPr>
      <t xml:space="preserve"> CP-4, IR-3, PM-14</t>
    </r>
  </si>
  <si>
    <r>
      <t xml:space="preserve">PR.IP-11: </t>
    </r>
    <r>
      <rPr>
        <sz val="9"/>
        <color rgb="FF000000"/>
        <rFont val="Times New Roman"/>
        <family val="1"/>
      </rPr>
      <t>Cybersecurity is included in human resources practices (e.g., deprovisioning, personnel screening)</t>
    </r>
  </si>
  <si>
    <r>
      <t xml:space="preserve">·       </t>
    </r>
    <r>
      <rPr>
        <b/>
        <sz val="9"/>
        <color theme="1"/>
        <rFont val="Times New Roman"/>
        <family val="1"/>
      </rPr>
      <t xml:space="preserve">COBIT 5 </t>
    </r>
    <r>
      <rPr>
        <sz val="9"/>
        <color theme="1"/>
        <rFont val="Times New Roman"/>
        <family val="1"/>
      </rPr>
      <t>APO07.01, APO07.02, APO07.03, APO07.04, APO07.05</t>
    </r>
  </si>
  <si>
    <r>
      <t xml:space="preserve">·       </t>
    </r>
    <r>
      <rPr>
        <b/>
        <sz val="9"/>
        <color theme="1"/>
        <rFont val="Times New Roman"/>
        <family val="1"/>
      </rPr>
      <t>ISA 62443-2-1:2009</t>
    </r>
    <r>
      <rPr>
        <sz val="9"/>
        <color theme="1"/>
        <rFont val="Times New Roman"/>
        <family val="1"/>
      </rPr>
      <t xml:space="preserve"> 4.3.3.2.1, 4.3.3.2.2, 4.3.3.2.3</t>
    </r>
  </si>
  <si>
    <r>
      <t xml:space="preserve">·       </t>
    </r>
    <r>
      <rPr>
        <b/>
        <sz val="9"/>
        <color theme="1"/>
        <rFont val="Times New Roman"/>
        <family val="1"/>
      </rPr>
      <t xml:space="preserve">ISO/IEC 27001:2013 </t>
    </r>
    <r>
      <rPr>
        <sz val="9"/>
        <color theme="1"/>
        <rFont val="Times New Roman"/>
        <family val="1"/>
      </rPr>
      <t xml:space="preserve">A.7.1.1, A.7.3.1, A.8.1.4 </t>
    </r>
  </si>
  <si>
    <r>
      <t xml:space="preserve">·       </t>
    </r>
    <r>
      <rPr>
        <b/>
        <sz val="9"/>
        <color rgb="FF000000"/>
        <rFont val="Times New Roman"/>
        <family val="1"/>
      </rPr>
      <t>NIST SP 800-53 Rev. 4</t>
    </r>
    <r>
      <rPr>
        <sz val="9"/>
        <color rgb="FF000000"/>
        <rFont val="Times New Roman"/>
        <family val="1"/>
      </rPr>
      <t xml:space="preserve"> PS Family</t>
    </r>
  </si>
  <si>
    <r>
      <t xml:space="preserve">PR.IP-12: </t>
    </r>
    <r>
      <rPr>
        <sz val="9"/>
        <color rgb="FF000000"/>
        <rFont val="Times New Roman"/>
        <family val="1"/>
      </rPr>
      <t>A</t>
    </r>
    <r>
      <rPr>
        <b/>
        <sz val="9"/>
        <color rgb="FF000000"/>
        <rFont val="Times New Roman"/>
        <family val="1"/>
      </rPr>
      <t xml:space="preserve"> </t>
    </r>
    <r>
      <rPr>
        <sz val="9"/>
        <color rgb="FF000000"/>
        <rFont val="Times New Roman"/>
        <family val="1"/>
      </rPr>
      <t>vulnerability management plan is developed and implemented</t>
    </r>
  </si>
  <si>
    <r>
      <t xml:space="preserve">·       </t>
    </r>
    <r>
      <rPr>
        <b/>
        <sz val="9"/>
        <color theme="1"/>
        <rFont val="Times New Roman"/>
        <family val="1"/>
      </rPr>
      <t xml:space="preserve">ISO/IEC 27001:2013 </t>
    </r>
    <r>
      <rPr>
        <sz val="9"/>
        <color theme="1"/>
        <rFont val="Times New Roman"/>
        <family val="1"/>
      </rPr>
      <t>A.12.6.1, A.18.2.2</t>
    </r>
  </si>
  <si>
    <r>
      <t xml:space="preserve">·       </t>
    </r>
    <r>
      <rPr>
        <b/>
        <sz val="9"/>
        <color rgb="FF000000"/>
        <rFont val="Times New Roman"/>
        <family val="1"/>
      </rPr>
      <t>NIST SP 800-53 Rev. 4</t>
    </r>
    <r>
      <rPr>
        <sz val="9"/>
        <color rgb="FF000000"/>
        <rFont val="Times New Roman"/>
        <family val="1"/>
      </rPr>
      <t xml:space="preserve"> RA-3, RA-5, SI-2</t>
    </r>
  </si>
  <si>
    <r>
      <t>Maintenance (PR.MA):</t>
    </r>
    <r>
      <rPr>
        <sz val="9"/>
        <color theme="1"/>
        <rFont val="Times New Roman"/>
        <family val="1"/>
      </rPr>
      <t xml:space="preserve"> Maintenance and repairs of industrial control and information system components is performed consistent with policies and procedures.</t>
    </r>
  </si>
  <si>
    <r>
      <t>PR.MA-1:</t>
    </r>
    <r>
      <rPr>
        <sz val="9"/>
        <color rgb="FF000000"/>
        <rFont val="Times New Roman"/>
        <family val="1"/>
      </rPr>
      <t xml:space="preserve"> Maintenance and repair of organizational assets is performed and logged in a timely manner, with approved and controlled tools</t>
    </r>
  </si>
  <si>
    <r>
      <t xml:space="preserve">·       </t>
    </r>
    <r>
      <rPr>
        <b/>
        <sz val="9"/>
        <color theme="1"/>
        <rFont val="Times New Roman"/>
        <family val="1"/>
      </rPr>
      <t>ISA 62443-2-1:2009</t>
    </r>
    <r>
      <rPr>
        <sz val="9"/>
        <color theme="1"/>
        <rFont val="Times New Roman"/>
        <family val="1"/>
      </rPr>
      <t xml:space="preserve"> 4.3.3.3.7</t>
    </r>
  </si>
  <si>
    <r>
      <t xml:space="preserve">·       </t>
    </r>
    <r>
      <rPr>
        <b/>
        <sz val="9"/>
        <color theme="1"/>
        <rFont val="Times New Roman"/>
        <family val="1"/>
      </rPr>
      <t>ISO/IEC 27001:2013</t>
    </r>
    <r>
      <rPr>
        <sz val="9"/>
        <color theme="1"/>
        <rFont val="Times New Roman"/>
        <family val="1"/>
      </rPr>
      <t xml:space="preserve"> A.11.1.2, A.11.2.4, A.11.2.5</t>
    </r>
  </si>
  <si>
    <r>
      <t xml:space="preserve">·       </t>
    </r>
    <r>
      <rPr>
        <b/>
        <sz val="9"/>
        <color rgb="FF000000"/>
        <rFont val="Times New Roman"/>
        <family val="1"/>
      </rPr>
      <t>NIST SP 800-53 Rev. 4</t>
    </r>
    <r>
      <rPr>
        <sz val="9"/>
        <color rgb="FF000000"/>
        <rFont val="Times New Roman"/>
        <family val="1"/>
      </rPr>
      <t xml:space="preserve"> MA-2, MA-3, MA-5</t>
    </r>
  </si>
  <si>
    <r>
      <t xml:space="preserve">PR.MA-2: </t>
    </r>
    <r>
      <rPr>
        <sz val="9"/>
        <color rgb="FF000000"/>
        <rFont val="Times New Roman"/>
        <family val="1"/>
      </rPr>
      <t>Remote maintenance of organizational assets is approved, logged, and performed in a manner that prevents unauthorized access</t>
    </r>
  </si>
  <si>
    <r>
      <t xml:space="preserve">·       </t>
    </r>
    <r>
      <rPr>
        <b/>
        <sz val="9"/>
        <color theme="1"/>
        <rFont val="Times New Roman"/>
        <family val="1"/>
      </rPr>
      <t xml:space="preserve">COBIT 5 </t>
    </r>
    <r>
      <rPr>
        <sz val="9"/>
        <color theme="1"/>
        <rFont val="Times New Roman"/>
        <family val="1"/>
      </rPr>
      <t>DSS05.04</t>
    </r>
  </si>
  <si>
    <r>
      <t xml:space="preserve">·       </t>
    </r>
    <r>
      <rPr>
        <b/>
        <sz val="9"/>
        <color theme="1"/>
        <rFont val="Times New Roman"/>
        <family val="1"/>
      </rPr>
      <t>ISA 62443-2-1:2009</t>
    </r>
    <r>
      <rPr>
        <sz val="9"/>
        <color theme="1"/>
        <rFont val="Times New Roman"/>
        <family val="1"/>
      </rPr>
      <t xml:space="preserve"> 4.3.3.6.5, 4.3.3.6.6, 4.3.3.6.7, 4.4.4.6.8</t>
    </r>
  </si>
  <si>
    <r>
      <t xml:space="preserve">·       </t>
    </r>
    <r>
      <rPr>
        <b/>
        <sz val="9"/>
        <color theme="1"/>
        <rFont val="Times New Roman"/>
        <family val="1"/>
      </rPr>
      <t xml:space="preserve">ISO/IEC 27001:2013 </t>
    </r>
    <r>
      <rPr>
        <sz val="9"/>
        <color theme="1"/>
        <rFont val="Times New Roman"/>
        <family val="1"/>
      </rPr>
      <t>A.11.2.4, A.15.1.1, A.15.2.1</t>
    </r>
  </si>
  <si>
    <r>
      <t xml:space="preserve">·       </t>
    </r>
    <r>
      <rPr>
        <b/>
        <sz val="9"/>
        <color rgb="FF000000"/>
        <rFont val="Times New Roman"/>
        <family val="1"/>
      </rPr>
      <t xml:space="preserve">NIST SP 800-53 Rev. 4 </t>
    </r>
    <r>
      <rPr>
        <sz val="9"/>
        <color rgb="FF000000"/>
        <rFont val="Times New Roman"/>
        <family val="1"/>
      </rPr>
      <t>MA-4</t>
    </r>
  </si>
  <si>
    <r>
      <t xml:space="preserve">Protective Technology (PR.PT): </t>
    </r>
    <r>
      <rPr>
        <sz val="9"/>
        <color theme="1"/>
        <rFont val="Times New Roman"/>
        <family val="1"/>
      </rPr>
      <t>Technical security solutions are managed to ensure the security and resilience of systems and assets, consistent with related policies, procedures, and agreements.</t>
    </r>
  </si>
  <si>
    <r>
      <t xml:space="preserve">PR.PT-1: </t>
    </r>
    <r>
      <rPr>
        <sz val="9"/>
        <color rgb="FF000000"/>
        <rFont val="Times New Roman"/>
        <family val="1"/>
      </rPr>
      <t>Audit/log records are determined, documented, implemented, and reviewed in accordance with policy</t>
    </r>
  </si>
  <si>
    <r>
      <t xml:space="preserve">·       </t>
    </r>
    <r>
      <rPr>
        <b/>
        <sz val="9"/>
        <color rgb="FF000000"/>
        <rFont val="Times New Roman"/>
        <family val="1"/>
      </rPr>
      <t>CCS CSC</t>
    </r>
    <r>
      <rPr>
        <sz val="9"/>
        <color rgb="FF000000"/>
        <rFont val="Times New Roman"/>
        <family val="1"/>
      </rPr>
      <t xml:space="preserve"> 14</t>
    </r>
  </si>
  <si>
    <r>
      <t xml:space="preserve">·       </t>
    </r>
    <r>
      <rPr>
        <b/>
        <sz val="9"/>
        <color rgb="FF000000"/>
        <rFont val="Times New Roman"/>
        <family val="1"/>
      </rPr>
      <t xml:space="preserve">COBIT 5 </t>
    </r>
    <r>
      <rPr>
        <sz val="9"/>
        <color rgb="FF000000"/>
        <rFont val="Times New Roman"/>
        <family val="1"/>
      </rPr>
      <t>APO11.04</t>
    </r>
  </si>
  <si>
    <r>
      <t xml:space="preserve">·       </t>
    </r>
    <r>
      <rPr>
        <b/>
        <sz val="9"/>
        <color theme="1"/>
        <rFont val="Times New Roman"/>
        <family val="1"/>
      </rPr>
      <t xml:space="preserve">ISA 62443-2-1:2009 </t>
    </r>
    <r>
      <rPr>
        <sz val="9"/>
        <color theme="1"/>
        <rFont val="Times New Roman"/>
        <family val="1"/>
      </rPr>
      <t>4.3.3.3.9, 4.3.3.5.8, 4.3.4.4.7, 4.4.2.1, 4.4.2.2, 4.4.2.4</t>
    </r>
  </si>
  <si>
    <r>
      <t xml:space="preserve">·       </t>
    </r>
    <r>
      <rPr>
        <b/>
        <sz val="9"/>
        <color theme="1"/>
        <rFont val="Times New Roman"/>
        <family val="1"/>
      </rPr>
      <t>ISA 62443-3-3:2013</t>
    </r>
    <r>
      <rPr>
        <sz val="9"/>
        <color theme="1"/>
        <rFont val="Times New Roman"/>
        <family val="1"/>
      </rPr>
      <t xml:space="preserve"> SR 2.8, SR 2.9, SR 2.10, SR 2.11, SR 2.12</t>
    </r>
  </si>
  <si>
    <r>
      <t xml:space="preserve">·       </t>
    </r>
    <r>
      <rPr>
        <b/>
        <sz val="9"/>
        <color rgb="FF000000"/>
        <rFont val="Times New Roman"/>
        <family val="1"/>
      </rPr>
      <t xml:space="preserve">ISO/IEC 27001:2013 </t>
    </r>
    <r>
      <rPr>
        <sz val="9"/>
        <color rgb="FF000000"/>
        <rFont val="Times New Roman"/>
        <family val="1"/>
      </rPr>
      <t>A.12.4.1, A.12.4.2, A.12.4.3, A.12.4.4, A.12.7.1</t>
    </r>
    <r>
      <rPr>
        <b/>
        <sz val="9"/>
        <color theme="1"/>
        <rFont val="Times New Roman"/>
        <family val="1"/>
      </rPr>
      <t xml:space="preserve"> </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</si>
  <si>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AU Family</t>
    </r>
  </si>
  <si>
    <r>
      <t xml:space="preserve">PR.PT-2: </t>
    </r>
    <r>
      <rPr>
        <sz val="9"/>
        <color rgb="FF000000"/>
        <rFont val="Times New Roman"/>
        <family val="1"/>
      </rPr>
      <t>Removable media is protected and its use restricted according to policy</t>
    </r>
  </si>
  <si>
    <r>
      <t xml:space="preserve">·       </t>
    </r>
    <r>
      <rPr>
        <b/>
        <sz val="9"/>
        <color rgb="FF000000"/>
        <rFont val="Times New Roman"/>
        <family val="1"/>
      </rPr>
      <t xml:space="preserve">COBIT 5 </t>
    </r>
    <r>
      <rPr>
        <sz val="9"/>
        <color rgb="FF000000"/>
        <rFont val="Times New Roman"/>
        <family val="1"/>
      </rPr>
      <t>DSS05.02, APO13.01</t>
    </r>
  </si>
  <si>
    <r>
      <t xml:space="preserve">·       </t>
    </r>
    <r>
      <rPr>
        <b/>
        <sz val="9"/>
        <color rgb="FF000000"/>
        <rFont val="Times New Roman"/>
        <family val="1"/>
      </rPr>
      <t>ISA 62443-3-3:2013</t>
    </r>
    <r>
      <rPr>
        <sz val="9"/>
        <color rgb="FF000000"/>
        <rFont val="Times New Roman"/>
        <family val="1"/>
      </rPr>
      <t xml:space="preserve"> SR 2.3</t>
    </r>
  </si>
  <si>
    <r>
      <t xml:space="preserve">·       </t>
    </r>
    <r>
      <rPr>
        <b/>
        <sz val="9"/>
        <color theme="1"/>
        <rFont val="Times New Roman"/>
        <family val="1"/>
      </rPr>
      <t>ISO/IEC 27001:2013</t>
    </r>
    <r>
      <rPr>
        <sz val="9"/>
        <color theme="1"/>
        <rFont val="Times New Roman"/>
        <family val="1"/>
      </rPr>
      <t xml:space="preserve"> </t>
    </r>
    <r>
      <rPr>
        <sz val="9"/>
        <color rgb="FF000000"/>
        <rFont val="Times New Roman"/>
        <family val="1"/>
      </rPr>
      <t>A.8.2.2, A.8.2.3, A.8.3.1, A.8.3.3, A.11.2.9</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</si>
  <si>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MP-2, MP-4, MP-5, MP-7</t>
    </r>
  </si>
  <si>
    <r>
      <t xml:space="preserve">PR.PT-3: </t>
    </r>
    <r>
      <rPr>
        <sz val="9"/>
        <color rgb="FF000000"/>
        <rFont val="Times New Roman"/>
        <family val="1"/>
      </rPr>
      <t>Access to systems and assets is controlled, incorporating the principle of least functionality</t>
    </r>
  </si>
  <si>
    <r>
      <t xml:space="preserve">·       </t>
    </r>
    <r>
      <rPr>
        <b/>
        <sz val="9"/>
        <color rgb="FF000000"/>
        <rFont val="Times New Roman"/>
        <family val="1"/>
      </rPr>
      <t xml:space="preserve">COBIT 5 </t>
    </r>
    <r>
      <rPr>
        <sz val="9"/>
        <color rgb="FF000000"/>
        <rFont val="Times New Roman"/>
        <family val="1"/>
      </rPr>
      <t>DSS05.02</t>
    </r>
  </si>
  <si>
    <r>
      <t xml:space="preserve">·       </t>
    </r>
    <r>
      <rPr>
        <b/>
        <sz val="9"/>
        <color rgb="FF000000"/>
        <rFont val="Times New Roman"/>
        <family val="1"/>
      </rPr>
      <t>ISA 62443-2-1:2009</t>
    </r>
    <r>
      <rPr>
        <sz val="9"/>
        <color rgb="FF000000"/>
        <rFont val="Times New Roman"/>
        <family val="1"/>
      </rPr>
      <t xml:space="preserve"> 4.3.3.5.1, 4.3.3.5.2, 4.3.3.5.3, 4.3.3.5.4, 4.3.3.5.5, 4.3.3.5.6, 4.3.3.5.7, 4.3.3.5.8, 4.3.3.6.1, 4.3.3.6.2, 4.3.3.6.3, 4.3.3.6.4, 4.3.3.6.5, 4.3.3.6.6, 4.3.3.6.7, 4.3.3.6.8, 4.3.3.6.9, 4.3.3.7.1, 4.3.3.7.2, 4.3.3.7.3, 4.3.3.7.4</t>
    </r>
  </si>
  <si>
    <r>
      <t xml:space="preserve">·       </t>
    </r>
    <r>
      <rPr>
        <b/>
        <sz val="9"/>
        <color rgb="FF000000"/>
        <rFont val="Times New Roman"/>
        <family val="1"/>
      </rPr>
      <t>ISA 62443-3-3:2013</t>
    </r>
    <r>
      <rPr>
        <sz val="9"/>
        <color rgb="FF000000"/>
        <rFont val="Times New Roman"/>
        <family val="1"/>
      </rPr>
      <t xml:space="preserve"> SR 1.1, SR 1.2, SR 1.3, SR 1.4, SR 1.5, SR 1.6, SR 1.7, SR 1.8, SR 1.9, SR 1.10, SR 1.11, SR 1.12, SR 1.13, SR 2.1, SR 2.2, SR 2.3, SR 2.4, SR 2.5, SR 2.6, SR 2.7</t>
    </r>
  </si>
  <si>
    <r>
      <t xml:space="preserve">·       </t>
    </r>
    <r>
      <rPr>
        <b/>
        <sz val="9"/>
        <color rgb="FF000000"/>
        <rFont val="Times New Roman"/>
        <family val="1"/>
      </rPr>
      <t xml:space="preserve">ISO/IEC 27001:2013 </t>
    </r>
    <r>
      <rPr>
        <sz val="9"/>
        <color rgb="FF000000"/>
        <rFont val="Times New Roman"/>
        <family val="1"/>
      </rPr>
      <t>A.9.1.2</t>
    </r>
  </si>
  <si>
    <r>
      <t xml:space="preserve">·       </t>
    </r>
    <r>
      <rPr>
        <b/>
        <sz val="9"/>
        <color rgb="FF000000"/>
        <rFont val="Times New Roman"/>
        <family val="1"/>
      </rPr>
      <t>NIST SP 800-53 Rev. 4</t>
    </r>
    <r>
      <rPr>
        <sz val="9"/>
        <color rgb="FF000000"/>
        <rFont val="Times New Roman"/>
        <family val="1"/>
      </rPr>
      <t xml:space="preserve"> AC-3, CM-7</t>
    </r>
  </si>
  <si>
    <r>
      <t xml:space="preserve">PR.PT-4: </t>
    </r>
    <r>
      <rPr>
        <sz val="9"/>
        <color rgb="FF000000"/>
        <rFont val="Times New Roman"/>
        <family val="1"/>
      </rPr>
      <t>Communications and control networks are protected</t>
    </r>
  </si>
  <si>
    <r>
      <t xml:space="preserve">·       </t>
    </r>
    <r>
      <rPr>
        <b/>
        <sz val="9"/>
        <color rgb="FF000000"/>
        <rFont val="Times New Roman"/>
        <family val="1"/>
      </rPr>
      <t>CCS CSC</t>
    </r>
    <r>
      <rPr>
        <sz val="9"/>
        <color rgb="FF000000"/>
        <rFont val="Times New Roman"/>
        <family val="1"/>
      </rPr>
      <t xml:space="preserve"> 7</t>
    </r>
  </si>
  <si>
    <r>
      <t xml:space="preserve">·       </t>
    </r>
    <r>
      <rPr>
        <b/>
        <sz val="9"/>
        <color rgb="FF000000"/>
        <rFont val="Times New Roman"/>
        <family val="1"/>
      </rPr>
      <t>ISA 62443-3-3:2013</t>
    </r>
    <r>
      <rPr>
        <sz val="9"/>
        <color rgb="FF000000"/>
        <rFont val="Times New Roman"/>
        <family val="1"/>
      </rPr>
      <t xml:space="preserve"> SR 3.1, SR 3.5, SR 3.8, SR 4.1, SR 4.3, SR 5.1, SR 5.2, SR 5.3, SR 7.1, SR 7.6</t>
    </r>
  </si>
  <si>
    <r>
      <t xml:space="preserve">·       </t>
    </r>
    <r>
      <rPr>
        <b/>
        <sz val="9"/>
        <color rgb="FF000000"/>
        <rFont val="Times New Roman"/>
        <family val="1"/>
      </rPr>
      <t xml:space="preserve">ISO/IEC 27001:2013 </t>
    </r>
    <r>
      <rPr>
        <sz val="9"/>
        <color rgb="FF000000"/>
        <rFont val="Times New Roman"/>
        <family val="1"/>
      </rPr>
      <t>A.13.1.1, A.13.2.1</t>
    </r>
  </si>
  <si>
    <r>
      <t xml:space="preserve">·       </t>
    </r>
    <r>
      <rPr>
        <b/>
        <sz val="9"/>
        <color rgb="FF000000"/>
        <rFont val="Times New Roman"/>
        <family val="1"/>
      </rPr>
      <t>NIST SP 800-53 Rev. 4</t>
    </r>
    <r>
      <rPr>
        <sz val="9"/>
        <color rgb="FF000000"/>
        <rFont val="Times New Roman"/>
        <family val="1"/>
      </rPr>
      <t xml:space="preserve"> AC-4, AC-17, AC-18, CP-8, SC-7</t>
    </r>
  </si>
  <si>
    <r>
      <t xml:space="preserve">Anomalies and Events (DE.AE): </t>
    </r>
    <r>
      <rPr>
        <sz val="9"/>
        <color theme="1"/>
        <rFont val="Times New Roman"/>
        <family val="1"/>
      </rPr>
      <t>Anomalous activity is detected in a timely manner and the potential impact of events is understood.</t>
    </r>
  </si>
  <si>
    <r>
      <t xml:space="preserve">DE.AE-1: </t>
    </r>
    <r>
      <rPr>
        <sz val="9"/>
        <color rgb="FF000000"/>
        <rFont val="Times New Roman"/>
        <family val="1"/>
      </rPr>
      <t>A baseline of network operations and expected data flows for users and systems is established and managed</t>
    </r>
  </si>
  <si>
    <r>
      <t xml:space="preserve">·       </t>
    </r>
    <r>
      <rPr>
        <b/>
        <sz val="9"/>
        <color theme="1"/>
        <rFont val="Times New Roman"/>
        <family val="1"/>
      </rPr>
      <t xml:space="preserve">COBIT 5 </t>
    </r>
    <r>
      <rPr>
        <sz val="9"/>
        <color theme="1"/>
        <rFont val="Times New Roman"/>
        <family val="1"/>
      </rPr>
      <t>DSS03.01</t>
    </r>
  </si>
  <si>
    <r>
      <t xml:space="preserve">·       </t>
    </r>
    <r>
      <rPr>
        <b/>
        <sz val="9"/>
        <color theme="1"/>
        <rFont val="Times New Roman"/>
        <family val="1"/>
      </rPr>
      <t xml:space="preserve">ISA 62443-2-1:2009 </t>
    </r>
    <r>
      <rPr>
        <sz val="9"/>
        <color theme="1"/>
        <rFont val="Times New Roman"/>
        <family val="1"/>
      </rPr>
      <t>4.4.3.3</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</si>
  <si>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AC-4, CA-3, CM-2, SI-4</t>
    </r>
  </si>
  <si>
    <r>
      <t xml:space="preserve">DE.AE-2: </t>
    </r>
    <r>
      <rPr>
        <sz val="9"/>
        <color rgb="FF000000"/>
        <rFont val="Times New Roman"/>
        <family val="1"/>
      </rPr>
      <t>Detected events are analyzed to understand attack targets and methods</t>
    </r>
  </si>
  <si>
    <r>
      <t xml:space="preserve">·       </t>
    </r>
    <r>
      <rPr>
        <b/>
        <sz val="9"/>
        <color theme="1"/>
        <rFont val="Times New Roman"/>
        <family val="1"/>
      </rPr>
      <t>ISA 62443-2-1:2009</t>
    </r>
    <r>
      <rPr>
        <sz val="9"/>
        <color theme="1"/>
        <rFont val="Times New Roman"/>
        <family val="1"/>
      </rPr>
      <t xml:space="preserve"> 4.3.4.5.6, 4.3.4.5.7, 4.3.4.5.8</t>
    </r>
  </si>
  <si>
    <r>
      <t xml:space="preserve">·       </t>
    </r>
    <r>
      <rPr>
        <b/>
        <sz val="9"/>
        <color theme="1"/>
        <rFont val="Times New Roman"/>
        <family val="1"/>
      </rPr>
      <t>ISA 62443-3-3:2013</t>
    </r>
    <r>
      <rPr>
        <sz val="9"/>
        <color theme="1"/>
        <rFont val="Times New Roman"/>
        <family val="1"/>
      </rPr>
      <t xml:space="preserve"> SR 2.8, SR 2.9, SR 2.10, SR 2.11, SR 2.12, SR 3.9, SR 6.1, SR 6.2</t>
    </r>
  </si>
  <si>
    <r>
      <t xml:space="preserve">·       </t>
    </r>
    <r>
      <rPr>
        <b/>
        <sz val="9"/>
        <color theme="1"/>
        <rFont val="Times New Roman"/>
        <family val="1"/>
      </rPr>
      <t>ISO/IEC 27001:2013</t>
    </r>
    <r>
      <rPr>
        <sz val="9"/>
        <color theme="1"/>
        <rFont val="Times New Roman"/>
        <family val="1"/>
      </rPr>
      <t xml:space="preserve"> A.16.1.1, A.16.1.4</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</si>
  <si>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AU-6, CA-7, IR-4, SI-4</t>
    </r>
  </si>
  <si>
    <r>
      <t xml:space="preserve">DE.AE-3: </t>
    </r>
    <r>
      <rPr>
        <sz val="9"/>
        <color rgb="FF000000"/>
        <rFont val="Times New Roman"/>
        <family val="1"/>
      </rPr>
      <t>Event data are aggregated and correlated from multiple sources and sensors</t>
    </r>
  </si>
  <si>
    <r>
      <t xml:space="preserve">·       </t>
    </r>
    <r>
      <rPr>
        <b/>
        <sz val="9"/>
        <color theme="1"/>
        <rFont val="Times New Roman"/>
        <family val="1"/>
      </rPr>
      <t>ISA 62443-3-3:2013</t>
    </r>
    <r>
      <rPr>
        <sz val="9"/>
        <color theme="1"/>
        <rFont val="Times New Roman"/>
        <family val="1"/>
      </rPr>
      <t xml:space="preserve"> SR 6.1</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</si>
  <si>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AU-6, CA-7, IR-4, IR-5, IR-8, SI-4</t>
    </r>
  </si>
  <si>
    <r>
      <t xml:space="preserve">DE.AE-4: </t>
    </r>
    <r>
      <rPr>
        <sz val="9"/>
        <color rgb="FF000000"/>
        <rFont val="Times New Roman"/>
        <family val="1"/>
      </rPr>
      <t>Impact of events is determined</t>
    </r>
  </si>
  <si>
    <r>
      <t xml:space="preserve">·       </t>
    </r>
    <r>
      <rPr>
        <b/>
        <sz val="9"/>
        <color theme="1"/>
        <rFont val="Times New Roman"/>
        <family val="1"/>
      </rPr>
      <t>COBIT 5</t>
    </r>
    <r>
      <rPr>
        <sz val="9"/>
        <color theme="1"/>
        <rFont val="Times New Roman"/>
        <family val="1"/>
      </rPr>
      <t xml:space="preserve"> APO12.06</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</si>
  <si>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CP-2, IR-4, RA-3, SI -4</t>
    </r>
  </si>
  <si>
    <r>
      <t xml:space="preserve">DE.AE-5: </t>
    </r>
    <r>
      <rPr>
        <sz val="9"/>
        <color rgb="FF000000"/>
        <rFont val="Times New Roman"/>
        <family val="1"/>
      </rPr>
      <t>Incident alert thresholds are established</t>
    </r>
  </si>
  <si>
    <r>
      <t xml:space="preserve">·       </t>
    </r>
    <r>
      <rPr>
        <b/>
        <sz val="9"/>
        <color theme="1"/>
        <rFont val="Times New Roman"/>
        <family val="1"/>
      </rPr>
      <t xml:space="preserve">COBIT 5 </t>
    </r>
    <r>
      <rPr>
        <sz val="9"/>
        <color theme="1"/>
        <rFont val="Times New Roman"/>
        <family val="1"/>
      </rPr>
      <t>APO12.06</t>
    </r>
  </si>
  <si>
    <r>
      <t xml:space="preserve">·       </t>
    </r>
    <r>
      <rPr>
        <b/>
        <sz val="9"/>
        <color theme="1"/>
        <rFont val="Times New Roman"/>
        <family val="1"/>
      </rPr>
      <t xml:space="preserve">ISA 62443-2-1:2009 </t>
    </r>
    <r>
      <rPr>
        <sz val="9"/>
        <color theme="1"/>
        <rFont val="Times New Roman"/>
        <family val="1"/>
      </rPr>
      <t>4.2.3.10</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</si>
  <si>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rgb="FF000000"/>
        <rFont val="Times New Roman"/>
        <family val="1"/>
      </rPr>
      <t xml:space="preserve"> IR-4, IR-5, IR-8</t>
    </r>
  </si>
  <si>
    <r>
      <t xml:space="preserve">Security Continuous Monitoring (DE.CM): </t>
    </r>
    <r>
      <rPr>
        <sz val="9"/>
        <color theme="1"/>
        <rFont val="Times New Roman"/>
        <family val="1"/>
      </rPr>
      <t>The information system and assets are monitored at discrete intervals to identify cybersecurity events and verify the effectiveness of protective measures.</t>
    </r>
  </si>
  <si>
    <r>
      <t xml:space="preserve">DE.CM-1: </t>
    </r>
    <r>
      <rPr>
        <sz val="9"/>
        <color rgb="FF000000"/>
        <rFont val="Times New Roman"/>
        <family val="1"/>
      </rPr>
      <t>The network is</t>
    </r>
    <r>
      <rPr>
        <b/>
        <sz val="9"/>
        <color rgb="FF000000"/>
        <rFont val="Times New Roman"/>
        <family val="1"/>
      </rPr>
      <t xml:space="preserve"> </t>
    </r>
    <r>
      <rPr>
        <sz val="9"/>
        <color rgb="FF000000"/>
        <rFont val="Times New Roman"/>
        <family val="1"/>
      </rPr>
      <t>monitored to detect potential cybersecurity events</t>
    </r>
  </si>
  <si>
    <r>
      <t xml:space="preserve">·       </t>
    </r>
    <r>
      <rPr>
        <b/>
        <sz val="9"/>
        <color theme="1"/>
        <rFont val="Times New Roman"/>
        <family val="1"/>
      </rPr>
      <t>CCS CSC</t>
    </r>
    <r>
      <rPr>
        <sz val="9"/>
        <color theme="1"/>
        <rFont val="Times New Roman"/>
        <family val="1"/>
      </rPr>
      <t xml:space="preserve"> 14, 16</t>
    </r>
  </si>
  <si>
    <r>
      <t xml:space="preserve">·       </t>
    </r>
    <r>
      <rPr>
        <b/>
        <sz val="9"/>
        <color theme="1"/>
        <rFont val="Times New Roman"/>
        <family val="1"/>
      </rPr>
      <t xml:space="preserve">COBIT 5 </t>
    </r>
    <r>
      <rPr>
        <sz val="9"/>
        <color theme="1"/>
        <rFont val="Times New Roman"/>
        <family val="1"/>
      </rPr>
      <t>DSS05.07</t>
    </r>
  </si>
  <si>
    <r>
      <t xml:space="preserve">·       </t>
    </r>
    <r>
      <rPr>
        <b/>
        <sz val="9"/>
        <color theme="1"/>
        <rFont val="Times New Roman"/>
        <family val="1"/>
      </rPr>
      <t>ISA 62443-3-3:2013</t>
    </r>
    <r>
      <rPr>
        <sz val="9"/>
        <color theme="1"/>
        <rFont val="Times New Roman"/>
        <family val="1"/>
      </rPr>
      <t xml:space="preserve"> SR 6.2</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</si>
  <si>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AC-2, AU-12, CA-7, CM-3, SC-5, SC-7, SI-4</t>
    </r>
  </si>
  <si>
    <r>
      <t xml:space="preserve">DE.CM-2: </t>
    </r>
    <r>
      <rPr>
        <sz val="9"/>
        <color rgb="FF000000"/>
        <rFont val="Times New Roman"/>
        <family val="1"/>
      </rPr>
      <t>The physical environment is monitored to detect potential cybersecurity events</t>
    </r>
  </si>
  <si>
    <r>
      <t xml:space="preserve">·       </t>
    </r>
    <r>
      <rPr>
        <b/>
        <sz val="9"/>
        <color theme="1"/>
        <rFont val="Times New Roman"/>
        <family val="1"/>
      </rPr>
      <t>ISA 62443-2-1:2009</t>
    </r>
    <r>
      <rPr>
        <sz val="9"/>
        <color theme="1"/>
        <rFont val="Times New Roman"/>
        <family val="1"/>
      </rPr>
      <t xml:space="preserve"> 4.3.3.3.8</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</si>
  <si>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CA-7, PE-3, PE-6, PE-20</t>
    </r>
  </si>
  <si>
    <r>
      <t xml:space="preserve">DE.CM-3: </t>
    </r>
    <r>
      <rPr>
        <sz val="9"/>
        <color rgb="FF000000"/>
        <rFont val="Times New Roman"/>
        <family val="1"/>
      </rPr>
      <t>Personnel activity is monitored to detect potential cybersecurity events</t>
    </r>
  </si>
  <si>
    <r>
      <t xml:space="preserve">·       </t>
    </r>
    <r>
      <rPr>
        <b/>
        <sz val="9"/>
        <color theme="1"/>
        <rFont val="Times New Roman"/>
        <family val="1"/>
      </rPr>
      <t>ISO/IEC 27001:2013</t>
    </r>
    <r>
      <rPr>
        <sz val="9"/>
        <color theme="1"/>
        <rFont val="Times New Roman"/>
        <family val="1"/>
      </rPr>
      <t xml:space="preserve"> A.12.4.1</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</si>
  <si>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AC-2, AU-12, AU-13, </t>
    </r>
    <r>
      <rPr>
        <sz val="9"/>
        <color rgb="FF000000"/>
        <rFont val="Times New Roman"/>
        <family val="1"/>
      </rPr>
      <t>CA-7, CM-10, CM-11</t>
    </r>
  </si>
  <si>
    <r>
      <t xml:space="preserve">DE.CM-4: </t>
    </r>
    <r>
      <rPr>
        <sz val="9"/>
        <color rgb="FF000000"/>
        <rFont val="Times New Roman"/>
        <family val="1"/>
      </rPr>
      <t>Malicious code is detected</t>
    </r>
  </si>
  <si>
    <r>
      <t xml:space="preserve">·       </t>
    </r>
    <r>
      <rPr>
        <b/>
        <sz val="9"/>
        <color rgb="FF000000"/>
        <rFont val="Times New Roman"/>
        <family val="1"/>
      </rPr>
      <t>CCS CSC</t>
    </r>
    <r>
      <rPr>
        <sz val="9"/>
        <color rgb="FF000000"/>
        <rFont val="Times New Roman"/>
        <family val="1"/>
      </rPr>
      <t xml:space="preserve"> 5</t>
    </r>
  </si>
  <si>
    <r>
      <t xml:space="preserve">·       </t>
    </r>
    <r>
      <rPr>
        <b/>
        <sz val="9"/>
        <color theme="1"/>
        <rFont val="Times New Roman"/>
        <family val="1"/>
      </rPr>
      <t xml:space="preserve">COBIT 5 </t>
    </r>
    <r>
      <rPr>
        <sz val="9"/>
        <color theme="1"/>
        <rFont val="Times New Roman"/>
        <family val="1"/>
      </rPr>
      <t>DSS05.01</t>
    </r>
  </si>
  <si>
    <r>
      <t xml:space="preserve">·       </t>
    </r>
    <r>
      <rPr>
        <b/>
        <sz val="9"/>
        <color theme="1"/>
        <rFont val="Times New Roman"/>
        <family val="1"/>
      </rPr>
      <t>ISA 62443-2-1:2009</t>
    </r>
    <r>
      <rPr>
        <sz val="9"/>
        <color theme="1"/>
        <rFont val="Times New Roman"/>
        <family val="1"/>
      </rPr>
      <t xml:space="preserve"> 4.3.4.3.8</t>
    </r>
  </si>
  <si>
    <r>
      <t xml:space="preserve">·       </t>
    </r>
    <r>
      <rPr>
        <b/>
        <sz val="9"/>
        <color theme="1"/>
        <rFont val="Times New Roman"/>
        <family val="1"/>
      </rPr>
      <t>ISA 62443-3-3:2013</t>
    </r>
    <r>
      <rPr>
        <sz val="9"/>
        <color theme="1"/>
        <rFont val="Times New Roman"/>
        <family val="1"/>
      </rPr>
      <t xml:space="preserve"> SR 3.2</t>
    </r>
  </si>
  <si>
    <r>
      <t xml:space="preserve">·       </t>
    </r>
    <r>
      <rPr>
        <b/>
        <sz val="9"/>
        <color rgb="FF000000"/>
        <rFont val="Times New Roman"/>
        <family val="1"/>
      </rPr>
      <t xml:space="preserve">ISO/IEC 27001:2013 </t>
    </r>
    <r>
      <rPr>
        <sz val="9"/>
        <color rgb="FF000000"/>
        <rFont val="Times New Roman"/>
        <family val="1"/>
      </rPr>
      <t>A.12.2.1</t>
    </r>
  </si>
  <si>
    <r>
      <t xml:space="preserve">·       </t>
    </r>
    <r>
      <rPr>
        <b/>
        <sz val="9"/>
        <color rgb="FF000000"/>
        <rFont val="Times New Roman"/>
        <family val="1"/>
      </rPr>
      <t>NIST SP 800-53 Rev. 4</t>
    </r>
    <r>
      <rPr>
        <sz val="9"/>
        <color rgb="FF000000"/>
        <rFont val="Times New Roman"/>
        <family val="1"/>
      </rPr>
      <t xml:space="preserve"> SI-3</t>
    </r>
  </si>
  <si>
    <r>
      <t xml:space="preserve">DE.CM-5: </t>
    </r>
    <r>
      <rPr>
        <sz val="9"/>
        <color rgb="FF000000"/>
        <rFont val="Times New Roman"/>
        <family val="1"/>
      </rPr>
      <t>Unauthorized mobile code is detected</t>
    </r>
  </si>
  <si>
    <r>
      <t xml:space="preserve">·       </t>
    </r>
    <r>
      <rPr>
        <b/>
        <sz val="9"/>
        <color theme="1"/>
        <rFont val="Times New Roman"/>
        <family val="1"/>
      </rPr>
      <t>ISA 62443-3-3:2013</t>
    </r>
    <r>
      <rPr>
        <sz val="9"/>
        <color theme="1"/>
        <rFont val="Times New Roman"/>
        <family val="1"/>
      </rPr>
      <t xml:space="preserve"> SR 2.4</t>
    </r>
  </si>
  <si>
    <r>
      <t xml:space="preserve">·       </t>
    </r>
    <r>
      <rPr>
        <b/>
        <sz val="9"/>
        <color rgb="FF000000"/>
        <rFont val="Times New Roman"/>
        <family val="1"/>
      </rPr>
      <t xml:space="preserve">ISO/IEC 27001:2013 </t>
    </r>
    <r>
      <rPr>
        <sz val="9"/>
        <color rgb="FF000000"/>
        <rFont val="Times New Roman"/>
        <family val="1"/>
      </rPr>
      <t>A.12.5.1</t>
    </r>
  </si>
  <si>
    <r>
      <t xml:space="preserve">·       </t>
    </r>
    <r>
      <rPr>
        <b/>
        <sz val="9"/>
        <color rgb="FF000000"/>
        <rFont val="Times New Roman"/>
        <family val="1"/>
      </rPr>
      <t>NIST SP 800-53 Rev. 4</t>
    </r>
    <r>
      <rPr>
        <sz val="9"/>
        <color rgb="FF000000"/>
        <rFont val="Times New Roman"/>
        <family val="1"/>
      </rPr>
      <t xml:space="preserve"> SC-18, SI-4. SC-44</t>
    </r>
  </si>
  <si>
    <r>
      <t xml:space="preserve">DE.CM-6: </t>
    </r>
    <r>
      <rPr>
        <sz val="9"/>
        <color rgb="FF000000"/>
        <rFont val="Times New Roman"/>
        <family val="1"/>
      </rPr>
      <t>External service provider activity is monitored to detect potential cybersecurity events</t>
    </r>
  </si>
  <si>
    <r>
      <t xml:space="preserve">·       </t>
    </r>
    <r>
      <rPr>
        <b/>
        <sz val="9"/>
        <color theme="1"/>
        <rFont val="Times New Roman"/>
        <family val="1"/>
      </rPr>
      <t xml:space="preserve">COBIT 5 </t>
    </r>
    <r>
      <rPr>
        <sz val="9"/>
        <color theme="1"/>
        <rFont val="Times New Roman"/>
        <family val="1"/>
      </rPr>
      <t>APO07.06</t>
    </r>
  </si>
  <si>
    <r>
      <t xml:space="preserve">·       </t>
    </r>
    <r>
      <rPr>
        <b/>
        <sz val="9"/>
        <color theme="1"/>
        <rFont val="Times New Roman"/>
        <family val="1"/>
      </rPr>
      <t xml:space="preserve">ISO/IEC 27001:2013 </t>
    </r>
    <r>
      <rPr>
        <sz val="9"/>
        <color theme="1"/>
        <rFont val="Times New Roman"/>
        <family val="1"/>
      </rPr>
      <t>A.14.2.7, A.15.2.1</t>
    </r>
  </si>
  <si>
    <r>
      <t xml:space="preserve">·       </t>
    </r>
    <r>
      <rPr>
        <b/>
        <sz val="9"/>
        <color rgb="FF000000"/>
        <rFont val="Times New Roman"/>
        <family val="1"/>
      </rPr>
      <t>NIST SP 800-53 Rev. 4</t>
    </r>
    <r>
      <rPr>
        <sz val="9"/>
        <color rgb="FF000000"/>
        <rFont val="Times New Roman"/>
        <family val="1"/>
      </rPr>
      <t xml:space="preserve"> CA-7, PS-7, SA-4, SA-9, SI-4</t>
    </r>
  </si>
  <si>
    <r>
      <t xml:space="preserve">DE.CM-7: </t>
    </r>
    <r>
      <rPr>
        <sz val="9"/>
        <color rgb="FF000000"/>
        <rFont val="Times New Roman"/>
        <family val="1"/>
      </rPr>
      <t>Monitoring for unauthorized personnel, connections, devices, and software is performed</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</si>
  <si>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AU-12, CA-7, CM-3, CM-8, PE-3, PE-6, PE-20, SI-4</t>
    </r>
  </si>
  <si>
    <r>
      <t xml:space="preserve">DE.CM-8: </t>
    </r>
    <r>
      <rPr>
        <sz val="9"/>
        <color rgb="FF000000"/>
        <rFont val="Times New Roman"/>
        <family val="1"/>
      </rPr>
      <t>Vulnerability scans are performed</t>
    </r>
  </si>
  <si>
    <r>
      <t xml:space="preserve">·       </t>
    </r>
    <r>
      <rPr>
        <b/>
        <sz val="9"/>
        <color theme="1"/>
        <rFont val="Times New Roman"/>
        <family val="1"/>
      </rPr>
      <t>COBIT 5</t>
    </r>
    <r>
      <rPr>
        <sz val="9"/>
        <color theme="1"/>
        <rFont val="Times New Roman"/>
        <family val="1"/>
      </rPr>
      <t xml:space="preserve"> BAI03.10</t>
    </r>
  </si>
  <si>
    <r>
      <t xml:space="preserve">·       </t>
    </r>
    <r>
      <rPr>
        <b/>
        <sz val="9"/>
        <color theme="1"/>
        <rFont val="Times New Roman"/>
        <family val="1"/>
      </rPr>
      <t>ISA 62443-2-1:2009</t>
    </r>
    <r>
      <rPr>
        <sz val="9"/>
        <color theme="1"/>
        <rFont val="Times New Roman"/>
        <family val="1"/>
      </rPr>
      <t xml:space="preserve"> 4.2.3.1, 4.2.3.7</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</si>
  <si>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RA-5</t>
    </r>
  </si>
  <si>
    <r>
      <t>Detection Processes (DE.DP):</t>
    </r>
    <r>
      <rPr>
        <sz val="9"/>
        <color theme="1"/>
        <rFont val="Times New Roman"/>
        <family val="1"/>
      </rPr>
      <t xml:space="preserve"> Detection processes and procedures are maintained and tested to ensure timely and adequate awareness of anomalous events.</t>
    </r>
  </si>
  <si>
    <r>
      <t xml:space="preserve">DE.DP-1: </t>
    </r>
    <r>
      <rPr>
        <sz val="9"/>
        <color rgb="FF000000"/>
        <rFont val="Times New Roman"/>
        <family val="1"/>
      </rPr>
      <t>Roles and responsibilities for detection are well defined to ensure accountability</t>
    </r>
  </si>
  <si>
    <r>
      <t xml:space="preserve">·       </t>
    </r>
    <r>
      <rPr>
        <b/>
        <sz val="9"/>
        <color theme="1"/>
        <rFont val="Times New Roman"/>
        <family val="1"/>
      </rPr>
      <t xml:space="preserve">ISA 62443-2-1:2009 </t>
    </r>
    <r>
      <rPr>
        <sz val="9"/>
        <color theme="1"/>
        <rFont val="Times New Roman"/>
        <family val="1"/>
      </rPr>
      <t>4.4.3.1</t>
    </r>
  </si>
  <si>
    <r>
      <t xml:space="preserve">·       </t>
    </r>
    <r>
      <rPr>
        <b/>
        <sz val="9"/>
        <color rgb="FF000000"/>
        <rFont val="Times New Roman"/>
        <family val="1"/>
      </rPr>
      <t>NIST SP 800-53 Rev. 4</t>
    </r>
    <r>
      <rPr>
        <sz val="9"/>
        <color rgb="FF000000"/>
        <rFont val="Times New Roman"/>
        <family val="1"/>
      </rPr>
      <t xml:space="preserve"> CA-2, CA-7, PM-14</t>
    </r>
  </si>
  <si>
    <r>
      <t xml:space="preserve">DE.DP-2: </t>
    </r>
    <r>
      <rPr>
        <sz val="9"/>
        <color rgb="FF000000"/>
        <rFont val="Times New Roman"/>
        <family val="1"/>
      </rPr>
      <t>Detection activities comply with all applicable requirements</t>
    </r>
  </si>
  <si>
    <r>
      <t xml:space="preserve">·       </t>
    </r>
    <r>
      <rPr>
        <b/>
        <sz val="9"/>
        <color theme="1"/>
        <rFont val="Times New Roman"/>
        <family val="1"/>
      </rPr>
      <t xml:space="preserve">ISA 62443-2-1:2009 </t>
    </r>
    <r>
      <rPr>
        <sz val="9"/>
        <color theme="1"/>
        <rFont val="Times New Roman"/>
        <family val="1"/>
      </rPr>
      <t>4.4.3.2</t>
    </r>
  </si>
  <si>
    <r>
      <t xml:space="preserve">·       </t>
    </r>
    <r>
      <rPr>
        <b/>
        <sz val="9"/>
        <color theme="1"/>
        <rFont val="Times New Roman"/>
        <family val="1"/>
      </rPr>
      <t xml:space="preserve">ISO/IEC 27001:2013 </t>
    </r>
    <r>
      <rPr>
        <sz val="9"/>
        <color theme="1"/>
        <rFont val="Times New Roman"/>
        <family val="1"/>
      </rPr>
      <t>A.18.1.4</t>
    </r>
  </si>
  <si>
    <r>
      <t xml:space="preserve">·       </t>
    </r>
    <r>
      <rPr>
        <b/>
        <sz val="9"/>
        <color theme="1"/>
        <rFont val="Times New Roman"/>
        <family val="1"/>
      </rPr>
      <t xml:space="preserve">NIST SP 800-53 Rev. 4 </t>
    </r>
    <r>
      <rPr>
        <sz val="9"/>
        <color theme="1"/>
        <rFont val="Times New Roman"/>
        <family val="1"/>
      </rPr>
      <t>CA-2, CA-7, PM-14, SI-4</t>
    </r>
  </si>
  <si>
    <r>
      <t xml:space="preserve">DE.DP-3: </t>
    </r>
    <r>
      <rPr>
        <sz val="9"/>
        <color rgb="FF000000"/>
        <rFont val="Times New Roman"/>
        <family val="1"/>
      </rPr>
      <t>Detection processes are tested</t>
    </r>
  </si>
  <si>
    <r>
      <t xml:space="preserve">·       </t>
    </r>
    <r>
      <rPr>
        <b/>
        <sz val="9"/>
        <color rgb="FF000000"/>
        <rFont val="Times New Roman"/>
        <family val="1"/>
      </rPr>
      <t xml:space="preserve">COBIT 5 </t>
    </r>
    <r>
      <rPr>
        <sz val="9"/>
        <color rgb="FF000000"/>
        <rFont val="Times New Roman"/>
        <family val="1"/>
      </rPr>
      <t>APO13.02</t>
    </r>
  </si>
  <si>
    <r>
      <t xml:space="preserve">·       </t>
    </r>
    <r>
      <rPr>
        <b/>
        <sz val="9"/>
        <color theme="1"/>
        <rFont val="Times New Roman"/>
        <family val="1"/>
      </rPr>
      <t xml:space="preserve">ISO/IEC 27001:2013 </t>
    </r>
    <r>
      <rPr>
        <sz val="9"/>
        <color theme="1"/>
        <rFont val="Times New Roman"/>
        <family val="1"/>
      </rPr>
      <t>A.14.2.8</t>
    </r>
  </si>
  <si>
    <r>
      <t xml:space="preserve">·       </t>
    </r>
    <r>
      <rPr>
        <b/>
        <sz val="9"/>
        <color theme="1"/>
        <rFont val="Times New Roman"/>
        <family val="1"/>
      </rPr>
      <t xml:space="preserve">NIST SP 800-53 Rev. 4 </t>
    </r>
    <r>
      <rPr>
        <sz val="9"/>
        <color theme="1"/>
        <rFont val="Times New Roman"/>
        <family val="1"/>
      </rPr>
      <t>CA-2, CA-7, PE-3, PM-14, SI-3, SI-4</t>
    </r>
  </si>
  <si>
    <r>
      <t xml:space="preserve">DE.DP-4: </t>
    </r>
    <r>
      <rPr>
        <sz val="9"/>
        <color rgb="FF000000"/>
        <rFont val="Times New Roman"/>
        <family val="1"/>
      </rPr>
      <t>Event detection information is communicated to appropriate parties</t>
    </r>
  </si>
  <si>
    <r>
      <t xml:space="preserve">·       </t>
    </r>
    <r>
      <rPr>
        <b/>
        <sz val="9"/>
        <color theme="1"/>
        <rFont val="Times New Roman"/>
        <family val="1"/>
      </rPr>
      <t>ISA 62443-2-1:2009</t>
    </r>
    <r>
      <rPr>
        <sz val="9"/>
        <color theme="1"/>
        <rFont val="Times New Roman"/>
        <family val="1"/>
      </rPr>
      <t xml:space="preserve"> 4.3.4.5.9</t>
    </r>
  </si>
  <si>
    <r>
      <t xml:space="preserve">·       </t>
    </r>
    <r>
      <rPr>
        <b/>
        <sz val="9"/>
        <color theme="1"/>
        <rFont val="Times New Roman"/>
        <family val="1"/>
      </rPr>
      <t>ISO/IEC 27001:2013</t>
    </r>
    <r>
      <rPr>
        <sz val="9"/>
        <color theme="1"/>
        <rFont val="Times New Roman"/>
        <family val="1"/>
      </rPr>
      <t xml:space="preserve"> A.16.1.2</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</si>
  <si>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AU-6, CA-2, CA-7,  RA-5, SI-4</t>
    </r>
  </si>
  <si>
    <r>
      <t xml:space="preserve">DE.DP-5: </t>
    </r>
    <r>
      <rPr>
        <sz val="9"/>
        <color rgb="FF000000"/>
        <rFont val="Times New Roman"/>
        <family val="1"/>
      </rPr>
      <t>Detection processes are continuously improved</t>
    </r>
  </si>
  <si>
    <r>
      <t xml:space="preserve">·       </t>
    </r>
    <r>
      <rPr>
        <b/>
        <sz val="9"/>
        <color theme="1"/>
        <rFont val="Times New Roman"/>
        <family val="1"/>
      </rPr>
      <t>ISA 62443-2-1:2009</t>
    </r>
    <r>
      <rPr>
        <sz val="9"/>
        <color theme="1"/>
        <rFont val="Times New Roman"/>
        <family val="1"/>
      </rPr>
      <t xml:space="preserve"> 4.4.3.4</t>
    </r>
  </si>
  <si>
    <r>
      <t xml:space="preserve">·       </t>
    </r>
    <r>
      <rPr>
        <b/>
        <sz val="9"/>
        <color theme="1"/>
        <rFont val="Times New Roman"/>
        <family val="1"/>
      </rPr>
      <t xml:space="preserve">ISO/IEC 27001:2013 </t>
    </r>
    <r>
      <rPr>
        <sz val="9"/>
        <color theme="1"/>
        <rFont val="Times New Roman"/>
        <family val="1"/>
      </rPr>
      <t>A.16.1.6</t>
    </r>
  </si>
  <si>
    <r>
      <t xml:space="preserve">·       </t>
    </r>
    <r>
      <rPr>
        <b/>
        <sz val="9"/>
        <color theme="1"/>
        <rFont val="Times New Roman"/>
        <family val="1"/>
      </rPr>
      <t>NIST SP 800-53 Rev. 4</t>
    </r>
    <r>
      <rPr>
        <sz val="9"/>
        <color theme="1"/>
        <rFont val="Times New Roman"/>
        <family val="1"/>
      </rPr>
      <t>, CA-2, CA-7, PL-2, RA-5, SI-4, PM-14</t>
    </r>
  </si>
  <si>
    <r>
      <t>Response Planning (RS.RP):</t>
    </r>
    <r>
      <rPr>
        <sz val="9"/>
        <color theme="1"/>
        <rFont val="Times New Roman"/>
        <family val="1"/>
      </rPr>
      <t xml:space="preserve"> Response processes and procedures are executed and maintained, to ensure timely response to detected cybersecurity events.</t>
    </r>
  </si>
  <si>
    <r>
      <t xml:space="preserve">RS.RP-1: </t>
    </r>
    <r>
      <rPr>
        <sz val="9"/>
        <color theme="1"/>
        <rFont val="Times New Roman"/>
        <family val="1"/>
      </rPr>
      <t>Response plan is executed during or after an event</t>
    </r>
  </si>
  <si>
    <r>
      <t xml:space="preserve">·       </t>
    </r>
    <r>
      <rPr>
        <b/>
        <sz val="9"/>
        <color rgb="FF000000"/>
        <rFont val="Times New Roman"/>
        <family val="1"/>
      </rPr>
      <t xml:space="preserve">COBIT 5 </t>
    </r>
    <r>
      <rPr>
        <sz val="9"/>
        <color rgb="FF000000"/>
        <rFont val="Times New Roman"/>
        <family val="1"/>
      </rPr>
      <t>BAI01.10</t>
    </r>
  </si>
  <si>
    <r>
      <t xml:space="preserve">·       </t>
    </r>
    <r>
      <rPr>
        <b/>
        <sz val="9"/>
        <color rgb="FF000000"/>
        <rFont val="Times New Roman"/>
        <family val="1"/>
      </rPr>
      <t>CCS</t>
    </r>
    <r>
      <rPr>
        <sz val="9"/>
        <color rgb="FF000000"/>
        <rFont val="Times New Roman"/>
        <family val="1"/>
      </rPr>
      <t xml:space="preserve"> </t>
    </r>
    <r>
      <rPr>
        <b/>
        <sz val="9"/>
        <color rgb="FF000000"/>
        <rFont val="Times New Roman"/>
        <family val="1"/>
      </rPr>
      <t>CSC</t>
    </r>
    <r>
      <rPr>
        <sz val="9"/>
        <color rgb="FF000000"/>
        <rFont val="Times New Roman"/>
        <family val="1"/>
      </rPr>
      <t xml:space="preserve"> 18</t>
    </r>
  </si>
  <si>
    <r>
      <t xml:space="preserve">·       </t>
    </r>
    <r>
      <rPr>
        <b/>
        <sz val="9"/>
        <color theme="1"/>
        <rFont val="Times New Roman"/>
        <family val="1"/>
      </rPr>
      <t xml:space="preserve">ISA 62443-2-1:2009 </t>
    </r>
    <r>
      <rPr>
        <sz val="9"/>
        <color theme="1"/>
        <rFont val="Times New Roman"/>
        <family val="1"/>
      </rPr>
      <t>4.3.4.5.1</t>
    </r>
  </si>
  <si>
    <r>
      <t xml:space="preserve">·       </t>
    </r>
    <r>
      <rPr>
        <b/>
        <sz val="9"/>
        <color theme="1"/>
        <rFont val="Times New Roman"/>
        <family val="1"/>
      </rPr>
      <t xml:space="preserve">ISO/IEC 27001:2013 </t>
    </r>
    <r>
      <rPr>
        <sz val="9"/>
        <color theme="1"/>
        <rFont val="Times New Roman"/>
        <family val="1"/>
      </rPr>
      <t>A.16.1.5</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</si>
  <si>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CP-2, CP-10, </t>
    </r>
    <r>
      <rPr>
        <sz val="9"/>
        <color rgb="FF000000"/>
        <rFont val="Times New Roman"/>
        <family val="1"/>
      </rPr>
      <t xml:space="preserve">IR-4, IR-8 </t>
    </r>
  </si>
  <si>
    <r>
      <t xml:space="preserve">Communications (RS.CO): </t>
    </r>
    <r>
      <rPr>
        <sz val="9"/>
        <color theme="1"/>
        <rFont val="Times New Roman"/>
        <family val="1"/>
      </rPr>
      <t>Response activities are coordinated with internal and external stakeholders, as appropriate, to include external support from law enforcement agencies.</t>
    </r>
  </si>
  <si>
    <r>
      <t xml:space="preserve">RS.CO-1: </t>
    </r>
    <r>
      <rPr>
        <sz val="9"/>
        <color rgb="FF000000"/>
        <rFont val="Times New Roman"/>
        <family val="1"/>
      </rPr>
      <t>Personnel know their roles and order of operations when a response is needed</t>
    </r>
  </si>
  <si>
    <r>
      <t xml:space="preserve">·       </t>
    </r>
    <r>
      <rPr>
        <b/>
        <sz val="9"/>
        <color theme="1"/>
        <rFont val="Times New Roman"/>
        <family val="1"/>
      </rPr>
      <t xml:space="preserve">ISA 62443-2-1:2009 </t>
    </r>
    <r>
      <rPr>
        <sz val="9"/>
        <color theme="1"/>
        <rFont val="Times New Roman"/>
        <family val="1"/>
      </rPr>
      <t>4.3.4.5.2, 4.3.4.5.3, 4.3.4.5.4</t>
    </r>
  </si>
  <si>
    <r>
      <t xml:space="preserve">·       </t>
    </r>
    <r>
      <rPr>
        <b/>
        <sz val="9"/>
        <color theme="1"/>
        <rFont val="Times New Roman"/>
        <family val="1"/>
      </rPr>
      <t xml:space="preserve">ISO/IEC 27001:2013 </t>
    </r>
    <r>
      <rPr>
        <sz val="9"/>
        <color theme="1"/>
        <rFont val="Times New Roman"/>
        <family val="1"/>
      </rPr>
      <t xml:space="preserve">A.6.1.1, A.16.1.1 </t>
    </r>
  </si>
  <si>
    <r>
      <t xml:space="preserve">·       </t>
    </r>
    <r>
      <rPr>
        <b/>
        <sz val="9"/>
        <color theme="1"/>
        <rFont val="Times New Roman"/>
        <family val="1"/>
      </rPr>
      <t xml:space="preserve">NIST SP 800-53 Rev. 4 </t>
    </r>
    <r>
      <rPr>
        <sz val="9"/>
        <color theme="1"/>
        <rFont val="Times New Roman"/>
        <family val="1"/>
      </rPr>
      <t>CP-2, CP-3, IR-3, IR-8</t>
    </r>
  </si>
  <si>
    <r>
      <t xml:space="preserve">RS.CO-2: </t>
    </r>
    <r>
      <rPr>
        <sz val="9"/>
        <color rgb="FF000000"/>
        <rFont val="Times New Roman"/>
        <family val="1"/>
      </rPr>
      <t>Events are reported consistent with established criteria</t>
    </r>
  </si>
  <si>
    <r>
      <t xml:space="preserve">·       </t>
    </r>
    <r>
      <rPr>
        <b/>
        <sz val="9"/>
        <color theme="1"/>
        <rFont val="Times New Roman"/>
        <family val="1"/>
      </rPr>
      <t xml:space="preserve">ISA 62443-2-1:2009 </t>
    </r>
    <r>
      <rPr>
        <sz val="9"/>
        <color theme="1"/>
        <rFont val="Times New Roman"/>
        <family val="1"/>
      </rPr>
      <t>4.3.4.5.5</t>
    </r>
    <r>
      <rPr>
        <sz val="9"/>
        <color rgb="FF000000"/>
        <rFont val="Times New Roman"/>
        <family val="1"/>
      </rPr>
      <t xml:space="preserve"> </t>
    </r>
  </si>
  <si>
    <r>
      <t xml:space="preserve">·       </t>
    </r>
    <r>
      <rPr>
        <b/>
        <sz val="9"/>
        <color rgb="FF000000"/>
        <rFont val="Times New Roman"/>
        <family val="1"/>
      </rPr>
      <t>ISO/IEC 27001:2013</t>
    </r>
    <r>
      <rPr>
        <sz val="9"/>
        <color rgb="FF000000"/>
        <rFont val="Times New Roman"/>
        <family val="1"/>
      </rPr>
      <t xml:space="preserve"> A.6.1.3, A.16.1.2</t>
    </r>
  </si>
  <si>
    <r>
      <t xml:space="preserve">·       </t>
    </r>
    <r>
      <rPr>
        <b/>
        <sz val="9"/>
        <color theme="1"/>
        <rFont val="Times New Roman"/>
        <family val="1"/>
      </rPr>
      <t xml:space="preserve">NIST SP 800-53 Rev. 4 </t>
    </r>
    <r>
      <rPr>
        <sz val="9"/>
        <color theme="1"/>
        <rFont val="Times New Roman"/>
        <family val="1"/>
      </rPr>
      <t>AU-6,</t>
    </r>
    <r>
      <rPr>
        <b/>
        <sz val="9"/>
        <color theme="1"/>
        <rFont val="Times New Roman"/>
        <family val="1"/>
      </rPr>
      <t xml:space="preserve"> </t>
    </r>
    <r>
      <rPr>
        <sz val="9"/>
        <color theme="1"/>
        <rFont val="Times New Roman"/>
        <family val="1"/>
      </rPr>
      <t>IR-6, IR-8</t>
    </r>
  </si>
  <si>
    <r>
      <t xml:space="preserve">RS.CO-3: </t>
    </r>
    <r>
      <rPr>
        <sz val="9"/>
        <color theme="1"/>
        <rFont val="Times New Roman"/>
        <family val="1"/>
      </rPr>
      <t>Information is shared consistent with response plans</t>
    </r>
  </si>
  <si>
    <r>
      <t xml:space="preserve">·       </t>
    </r>
    <r>
      <rPr>
        <b/>
        <sz val="9"/>
        <color rgb="FF000000"/>
        <rFont val="Times New Roman"/>
        <family val="1"/>
      </rPr>
      <t>ISA 62443-2-1:2009</t>
    </r>
    <r>
      <rPr>
        <sz val="9"/>
        <color rgb="FF000000"/>
        <rFont val="Times New Roman"/>
        <family val="1"/>
      </rPr>
      <t xml:space="preserve"> 4.3.4.5.2</t>
    </r>
  </si>
  <si>
    <r>
      <t xml:space="preserve">·       </t>
    </r>
    <r>
      <rPr>
        <b/>
        <sz val="9"/>
        <color rgb="FF000000"/>
        <rFont val="Times New Roman"/>
        <family val="1"/>
      </rPr>
      <t xml:space="preserve">ISO/IEC 27001:2013 </t>
    </r>
    <r>
      <rPr>
        <sz val="9"/>
        <color rgb="FF000000"/>
        <rFont val="Times New Roman"/>
        <family val="1"/>
      </rPr>
      <t>A.16.1.2</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</si>
  <si>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CA-2, CA-7, </t>
    </r>
    <r>
      <rPr>
        <sz val="9"/>
        <color rgb="FF000000"/>
        <rFont val="Times New Roman"/>
        <family val="1"/>
      </rPr>
      <t xml:space="preserve">CP-2, IR-4, IR-8, PE-6, RA-5, SI-4 </t>
    </r>
  </si>
  <si>
    <r>
      <t xml:space="preserve">RS.CO-4: </t>
    </r>
    <r>
      <rPr>
        <sz val="9"/>
        <color theme="1"/>
        <rFont val="Times New Roman"/>
        <family val="1"/>
      </rPr>
      <t>Coordination with stakeholders occurs consistent with response plans</t>
    </r>
  </si>
  <si>
    <r>
      <t xml:space="preserve">·       </t>
    </r>
    <r>
      <rPr>
        <b/>
        <sz val="9"/>
        <color rgb="FF000000"/>
        <rFont val="Times New Roman"/>
        <family val="1"/>
      </rPr>
      <t xml:space="preserve">ISA 62443-2-1:2009 </t>
    </r>
    <r>
      <rPr>
        <sz val="9"/>
        <color rgb="FF000000"/>
        <rFont val="Times New Roman"/>
        <family val="1"/>
      </rPr>
      <t>4.3.4.5.5</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</si>
  <si>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CP-2, IR-4, IR-8</t>
    </r>
  </si>
  <si>
    <r>
      <t xml:space="preserve">RS.CO-5: </t>
    </r>
    <r>
      <rPr>
        <sz val="9"/>
        <color theme="1"/>
        <rFont val="Times New Roman"/>
        <family val="1"/>
      </rPr>
      <t>Voluntary information sharing occurs with external stakeholders to achieve broader cybersecurity situational awareness</t>
    </r>
    <r>
      <rPr>
        <sz val="9"/>
        <color rgb="FF000000"/>
        <rFont val="Times New Roman"/>
        <family val="1"/>
      </rPr>
      <t xml:space="preserve"> </t>
    </r>
  </si>
  <si>
    <r>
      <t xml:space="preserve">·       </t>
    </r>
    <r>
      <rPr>
        <b/>
        <sz val="9"/>
        <color theme="1"/>
        <rFont val="Times New Roman"/>
        <family val="1"/>
      </rPr>
      <t xml:space="preserve">NIST SP 800-53 Rev. 4 </t>
    </r>
    <r>
      <rPr>
        <sz val="9"/>
        <color theme="1"/>
        <rFont val="Times New Roman"/>
        <family val="1"/>
      </rPr>
      <t>PM-15, SI-5</t>
    </r>
  </si>
  <si>
    <r>
      <t xml:space="preserve">Analysis (RS.AN): </t>
    </r>
    <r>
      <rPr>
        <sz val="9"/>
        <color theme="1"/>
        <rFont val="Times New Roman"/>
        <family val="1"/>
      </rPr>
      <t>Analysis is conducted to ensure adequate response and support recovery activities.</t>
    </r>
  </si>
  <si>
    <r>
      <t xml:space="preserve">RS.AN-1: </t>
    </r>
    <r>
      <rPr>
        <sz val="9"/>
        <color rgb="FF000000"/>
        <rFont val="Times New Roman"/>
        <family val="1"/>
      </rPr>
      <t>Notifications from detection systems are investigated </t>
    </r>
  </si>
  <si>
    <r>
      <t xml:space="preserve">·       </t>
    </r>
    <r>
      <rPr>
        <b/>
        <sz val="9"/>
        <color rgb="FF000000"/>
        <rFont val="Times New Roman"/>
        <family val="1"/>
      </rPr>
      <t xml:space="preserve">COBIT 5 </t>
    </r>
    <r>
      <rPr>
        <sz val="9"/>
        <color rgb="FF000000"/>
        <rFont val="Times New Roman"/>
        <family val="1"/>
      </rPr>
      <t>DSS02.07</t>
    </r>
  </si>
  <si>
    <r>
      <t xml:space="preserve">·       </t>
    </r>
    <r>
      <rPr>
        <b/>
        <sz val="9"/>
        <color rgb="FF000000"/>
        <rFont val="Times New Roman"/>
        <family val="1"/>
      </rPr>
      <t xml:space="preserve">ISA 62443-2-1:2009 </t>
    </r>
    <r>
      <rPr>
        <sz val="9"/>
        <color rgb="FF000000"/>
        <rFont val="Times New Roman"/>
        <family val="1"/>
      </rPr>
      <t>4.3.4.5.6, 4.3.4.5.7, 4.3.4.5.8</t>
    </r>
  </si>
  <si>
    <r>
      <t xml:space="preserve">·       </t>
    </r>
    <r>
      <rPr>
        <b/>
        <sz val="9"/>
        <color rgb="FF000000"/>
        <rFont val="Times New Roman"/>
        <family val="1"/>
      </rPr>
      <t>ISA 62443-3-3:2013</t>
    </r>
    <r>
      <rPr>
        <sz val="9"/>
        <color rgb="FF000000"/>
        <rFont val="Times New Roman"/>
        <family val="1"/>
      </rPr>
      <t xml:space="preserve"> SR 6.1</t>
    </r>
  </si>
  <si>
    <r>
      <t xml:space="preserve">·       </t>
    </r>
    <r>
      <rPr>
        <b/>
        <sz val="9"/>
        <color rgb="FF000000"/>
        <rFont val="Times New Roman"/>
        <family val="1"/>
      </rPr>
      <t xml:space="preserve">ISO/IEC 27001:2013 </t>
    </r>
    <r>
      <rPr>
        <sz val="9"/>
        <color rgb="FF000000"/>
        <rFont val="Times New Roman"/>
        <family val="1"/>
      </rPr>
      <t>A.12.4.1, A.12.4.3, A.16.1.5</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</si>
  <si>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 xml:space="preserve">AU-6, </t>
    </r>
    <r>
      <rPr>
        <sz val="9"/>
        <color theme="1"/>
        <rFont val="Times New Roman"/>
        <family val="1"/>
      </rPr>
      <t xml:space="preserve">CA-7, IR-4, </t>
    </r>
    <r>
      <rPr>
        <sz val="9"/>
        <color rgb="FF000000"/>
        <rFont val="Times New Roman"/>
        <family val="1"/>
      </rPr>
      <t xml:space="preserve">IR-5, PE-6, SI-4 </t>
    </r>
  </si>
  <si>
    <r>
      <t xml:space="preserve">RS.AN-2: </t>
    </r>
    <r>
      <rPr>
        <sz val="9"/>
        <color rgb="FF000000"/>
        <rFont val="Times New Roman"/>
        <family val="1"/>
      </rPr>
      <t>The impact of the incident is understood</t>
    </r>
  </si>
  <si>
    <r>
      <t xml:space="preserve">·       </t>
    </r>
    <r>
      <rPr>
        <b/>
        <sz val="9"/>
        <color rgb="FF000000"/>
        <rFont val="Times New Roman"/>
        <family val="1"/>
      </rPr>
      <t>ISA 62443-2-1:2009</t>
    </r>
    <r>
      <rPr>
        <sz val="9"/>
        <color rgb="FF000000"/>
        <rFont val="Times New Roman"/>
        <family val="1"/>
      </rPr>
      <t xml:space="preserve"> 4.3.4.5.6, 4.3.4.5.7, 4.3.4.5.8</t>
    </r>
  </si>
  <si>
    <r>
      <t xml:space="preserve">·       </t>
    </r>
    <r>
      <rPr>
        <b/>
        <sz val="9"/>
        <color rgb="FF000000"/>
        <rFont val="Times New Roman"/>
        <family val="1"/>
      </rPr>
      <t xml:space="preserve">ISO/IEC 27001:2013 </t>
    </r>
    <r>
      <rPr>
        <sz val="9"/>
        <color rgb="FF000000"/>
        <rFont val="Times New Roman"/>
        <family val="1"/>
      </rPr>
      <t>A.16.1.6</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</si>
  <si>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CP-2, </t>
    </r>
    <r>
      <rPr>
        <sz val="9"/>
        <color rgb="FF000000"/>
        <rFont val="Times New Roman"/>
        <family val="1"/>
      </rPr>
      <t>IR-4</t>
    </r>
  </si>
  <si>
    <r>
      <t xml:space="preserve">RS.AN-3: </t>
    </r>
    <r>
      <rPr>
        <sz val="9"/>
        <color rgb="FF000000"/>
        <rFont val="Times New Roman"/>
        <family val="1"/>
      </rPr>
      <t>Forensics are performed</t>
    </r>
  </si>
  <si>
    <r>
      <t xml:space="preserve">·       </t>
    </r>
    <r>
      <rPr>
        <b/>
        <sz val="9"/>
        <color rgb="FF000000"/>
        <rFont val="Times New Roman"/>
        <family val="1"/>
      </rPr>
      <t>ISA 62443-3-3:2013</t>
    </r>
    <r>
      <rPr>
        <sz val="9"/>
        <color rgb="FF000000"/>
        <rFont val="Times New Roman"/>
        <family val="1"/>
      </rPr>
      <t xml:space="preserve"> SR 2.8, SR 2.9, SR 2.10, SR 2.11, SR 2.12, SR 3.9, SR 6.1</t>
    </r>
  </si>
  <si>
    <r>
      <t xml:space="preserve">·       </t>
    </r>
    <r>
      <rPr>
        <b/>
        <sz val="9"/>
        <color rgb="FF000000"/>
        <rFont val="Times New Roman"/>
        <family val="1"/>
      </rPr>
      <t xml:space="preserve">ISO/IEC 27001:2013 </t>
    </r>
    <r>
      <rPr>
        <sz val="9"/>
        <color rgb="FF000000"/>
        <rFont val="Times New Roman"/>
        <family val="1"/>
      </rPr>
      <t xml:space="preserve">A.16.1.7 </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</si>
  <si>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AU-7, </t>
    </r>
    <r>
      <rPr>
        <sz val="9"/>
        <color rgb="FF000000"/>
        <rFont val="Times New Roman"/>
        <family val="1"/>
      </rPr>
      <t>IR-4</t>
    </r>
  </si>
  <si>
    <r>
      <t xml:space="preserve">RS.AN-4: </t>
    </r>
    <r>
      <rPr>
        <sz val="9"/>
        <color rgb="FF000000"/>
        <rFont val="Times New Roman"/>
        <family val="1"/>
      </rPr>
      <t>Incidents are categorized consistent with response plans</t>
    </r>
  </si>
  <si>
    <r>
      <t xml:space="preserve">·       </t>
    </r>
    <r>
      <rPr>
        <b/>
        <sz val="9"/>
        <color theme="1"/>
        <rFont val="Times New Roman"/>
        <family val="1"/>
      </rPr>
      <t xml:space="preserve">ISA 62443-2-1:2009 </t>
    </r>
    <r>
      <rPr>
        <sz val="9"/>
        <color theme="1"/>
        <rFont val="Times New Roman"/>
        <family val="1"/>
      </rPr>
      <t>4.3.4.5.6</t>
    </r>
  </si>
  <si>
    <r>
      <t xml:space="preserve">·       </t>
    </r>
    <r>
      <rPr>
        <b/>
        <sz val="9"/>
        <color rgb="FF000000"/>
        <rFont val="Times New Roman"/>
        <family val="1"/>
      </rPr>
      <t xml:space="preserve">ISO/IEC 27001:2013 </t>
    </r>
    <r>
      <rPr>
        <sz val="9"/>
        <color rgb="FF000000"/>
        <rFont val="Times New Roman"/>
        <family val="1"/>
      </rPr>
      <t xml:space="preserve">A.16.1.4 </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</si>
  <si>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CP-2, </t>
    </r>
    <r>
      <rPr>
        <sz val="9"/>
        <color rgb="FF000000"/>
        <rFont val="Times New Roman"/>
        <family val="1"/>
      </rPr>
      <t>IR-4, IR-5, IR-8</t>
    </r>
  </si>
  <si>
    <r>
      <t xml:space="preserve">Mitigation (RS.MI): </t>
    </r>
    <r>
      <rPr>
        <sz val="9"/>
        <color theme="1"/>
        <rFont val="Times New Roman"/>
        <family val="1"/>
      </rPr>
      <t>Activities are performed to prevent expansion of an event, mitigate its effects, and eradicate the incident.</t>
    </r>
  </si>
  <si>
    <r>
      <t xml:space="preserve">RS.MI-1: </t>
    </r>
    <r>
      <rPr>
        <sz val="9"/>
        <color rgb="FF000000"/>
        <rFont val="Times New Roman"/>
        <family val="1"/>
      </rPr>
      <t>Incidents are contained</t>
    </r>
  </si>
  <si>
    <r>
      <t xml:space="preserve">·       </t>
    </r>
    <r>
      <rPr>
        <b/>
        <sz val="9"/>
        <color theme="1"/>
        <rFont val="Times New Roman"/>
        <family val="1"/>
      </rPr>
      <t>ISA 62443-3-3:2013</t>
    </r>
    <r>
      <rPr>
        <sz val="9"/>
        <color theme="1"/>
        <rFont val="Times New Roman"/>
        <family val="1"/>
      </rPr>
      <t xml:space="preserve"> SR 5.1, SR 5.2, SR 5.4</t>
    </r>
  </si>
  <si>
    <r>
      <t xml:space="preserve">·       </t>
    </r>
    <r>
      <rPr>
        <b/>
        <sz val="9"/>
        <color rgb="FF000000"/>
        <rFont val="Times New Roman"/>
        <family val="1"/>
      </rPr>
      <t xml:space="preserve">ISO/IEC 27001:2013 </t>
    </r>
    <r>
      <rPr>
        <sz val="9"/>
        <color rgb="FF000000"/>
        <rFont val="Times New Roman"/>
        <family val="1"/>
      </rPr>
      <t>A.16.1.5</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</si>
  <si>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IR-4</t>
    </r>
  </si>
  <si>
    <r>
      <t xml:space="preserve">RS.MI-2: </t>
    </r>
    <r>
      <rPr>
        <sz val="9"/>
        <color rgb="FF000000"/>
        <rFont val="Times New Roman"/>
        <family val="1"/>
      </rPr>
      <t>Incidents are mitigated</t>
    </r>
  </si>
  <si>
    <r>
      <t xml:space="preserve">·       </t>
    </r>
    <r>
      <rPr>
        <b/>
        <sz val="9"/>
        <color theme="1"/>
        <rFont val="Times New Roman"/>
        <family val="1"/>
      </rPr>
      <t xml:space="preserve">ISA 62443-2-1:2009 </t>
    </r>
    <r>
      <rPr>
        <sz val="9"/>
        <color theme="1"/>
        <rFont val="Times New Roman"/>
        <family val="1"/>
      </rPr>
      <t>4.3.4.5.6, 4.3.4.5.10</t>
    </r>
  </si>
  <si>
    <r>
      <t xml:space="preserve">·       </t>
    </r>
    <r>
      <rPr>
        <b/>
        <sz val="9"/>
        <color theme="1"/>
        <rFont val="Times New Roman"/>
        <family val="1"/>
      </rPr>
      <t>ISO/IEC 27001:2013</t>
    </r>
    <r>
      <rPr>
        <sz val="9"/>
        <color theme="1"/>
        <rFont val="Times New Roman"/>
        <family val="1"/>
      </rPr>
      <t xml:space="preserve"> A.12.2.1, A.16.1.5</t>
    </r>
  </si>
  <si>
    <r>
      <t xml:space="preserve">RS.MI-3: </t>
    </r>
    <r>
      <rPr>
        <sz val="9"/>
        <color rgb="FF000000"/>
        <rFont val="Times New Roman"/>
        <family val="1"/>
      </rPr>
      <t>Newly identified vulnerabilities are mitigated or documented as accepted risks</t>
    </r>
  </si>
  <si>
    <r>
      <t xml:space="preserve">·       </t>
    </r>
    <r>
      <rPr>
        <b/>
        <sz val="9"/>
        <color theme="1"/>
        <rFont val="Times New Roman"/>
        <family val="1"/>
      </rPr>
      <t>ISO/IEC 27001:2013</t>
    </r>
    <r>
      <rPr>
        <sz val="9"/>
        <color theme="1"/>
        <rFont val="Times New Roman"/>
        <family val="1"/>
      </rPr>
      <t xml:space="preserve"> A.12.6.1</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</si>
  <si>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 xml:space="preserve">Rev. 4 </t>
    </r>
    <r>
      <rPr>
        <sz val="9"/>
        <color theme="1"/>
        <rFont val="Times New Roman"/>
        <family val="1"/>
      </rPr>
      <t>CA-7,</t>
    </r>
    <r>
      <rPr>
        <b/>
        <sz val="9"/>
        <color theme="1"/>
        <rFont val="Times New Roman"/>
        <family val="1"/>
      </rPr>
      <t xml:space="preserve"> </t>
    </r>
    <r>
      <rPr>
        <sz val="9"/>
        <color theme="1"/>
        <rFont val="Times New Roman"/>
        <family val="1"/>
      </rPr>
      <t>RA-3, RA-5</t>
    </r>
  </si>
  <si>
    <r>
      <t xml:space="preserve">Improvements (RS.IM): </t>
    </r>
    <r>
      <rPr>
        <sz val="9"/>
        <color theme="1"/>
        <rFont val="Times New Roman"/>
        <family val="1"/>
      </rPr>
      <t>Organizational response activities are improved by incorporating lessons learned from current and previous detection/response activities.</t>
    </r>
  </si>
  <si>
    <r>
      <t xml:space="preserve">RS.IM-1: </t>
    </r>
    <r>
      <rPr>
        <sz val="9"/>
        <color rgb="FF000000"/>
        <rFont val="Times New Roman"/>
        <family val="1"/>
      </rPr>
      <t>Response</t>
    </r>
    <r>
      <rPr>
        <b/>
        <sz val="9"/>
        <color rgb="FF000000"/>
        <rFont val="Times New Roman"/>
        <family val="1"/>
      </rPr>
      <t xml:space="preserve"> </t>
    </r>
    <r>
      <rPr>
        <sz val="9"/>
        <color rgb="FF000000"/>
        <rFont val="Times New Roman"/>
        <family val="1"/>
      </rPr>
      <t>plans incorporate lessons learned</t>
    </r>
  </si>
  <si>
    <r>
      <t xml:space="preserve">·       </t>
    </r>
    <r>
      <rPr>
        <b/>
        <sz val="9"/>
        <color rgb="FF000000"/>
        <rFont val="Times New Roman"/>
        <family val="1"/>
      </rPr>
      <t xml:space="preserve">COBIT 5 </t>
    </r>
    <r>
      <rPr>
        <sz val="9"/>
        <color rgb="FF000000"/>
        <rFont val="Times New Roman"/>
        <family val="1"/>
      </rPr>
      <t>BAI01.13</t>
    </r>
  </si>
  <si>
    <r>
      <t xml:space="preserve">·       </t>
    </r>
    <r>
      <rPr>
        <b/>
        <sz val="9"/>
        <color theme="1"/>
        <rFont val="Times New Roman"/>
        <family val="1"/>
      </rPr>
      <t xml:space="preserve">ISA 62443-2-1:2009 </t>
    </r>
    <r>
      <rPr>
        <sz val="9"/>
        <color theme="1"/>
        <rFont val="Times New Roman"/>
        <family val="1"/>
      </rPr>
      <t>4.3.4.5.10, 4.4.3.4</t>
    </r>
  </si>
  <si>
    <r>
      <t xml:space="preserve">RS.IM-2: </t>
    </r>
    <r>
      <rPr>
        <sz val="9"/>
        <color rgb="FF000000"/>
        <rFont val="Times New Roman"/>
        <family val="1"/>
      </rPr>
      <t>Response strategies are updated</t>
    </r>
  </si>
  <si>
    <r>
      <t xml:space="preserve">Recovery Planning (RC.RP): </t>
    </r>
    <r>
      <rPr>
        <sz val="9"/>
        <color theme="1"/>
        <rFont val="Times New Roman"/>
        <family val="1"/>
      </rPr>
      <t>Recovery processes and procedures are executed and maintained to ensure timely restoration of systems or assets affected by cybersecurity events.</t>
    </r>
  </si>
  <si>
    <r>
      <t xml:space="preserve">RC.RP-1: </t>
    </r>
    <r>
      <rPr>
        <sz val="9"/>
        <color theme="1"/>
        <rFont val="Times New Roman"/>
        <family val="1"/>
      </rPr>
      <t>Recovery plan is executed during or after an event</t>
    </r>
  </si>
  <si>
    <r>
      <t xml:space="preserve">·       </t>
    </r>
    <r>
      <rPr>
        <b/>
        <sz val="9"/>
        <color rgb="FF000000"/>
        <rFont val="Times New Roman"/>
        <family val="1"/>
      </rPr>
      <t>CCS</t>
    </r>
    <r>
      <rPr>
        <sz val="9"/>
        <color rgb="FF000000"/>
        <rFont val="Times New Roman"/>
        <family val="1"/>
      </rPr>
      <t xml:space="preserve"> </t>
    </r>
    <r>
      <rPr>
        <b/>
        <sz val="9"/>
        <color rgb="FF000000"/>
        <rFont val="Times New Roman"/>
        <family val="1"/>
      </rPr>
      <t>CSC</t>
    </r>
    <r>
      <rPr>
        <sz val="9"/>
        <color rgb="FF000000"/>
        <rFont val="Times New Roman"/>
        <family val="1"/>
      </rPr>
      <t xml:space="preserve"> 8</t>
    </r>
  </si>
  <si>
    <r>
      <t xml:space="preserve">·       </t>
    </r>
    <r>
      <rPr>
        <b/>
        <sz val="9"/>
        <color rgb="FF000000"/>
        <rFont val="Times New Roman"/>
        <family val="1"/>
      </rPr>
      <t xml:space="preserve">COBIT 5 </t>
    </r>
    <r>
      <rPr>
        <sz val="9"/>
        <color rgb="FF000000"/>
        <rFont val="Times New Roman"/>
        <family val="1"/>
      </rPr>
      <t>DSS02.05, DSS03.04</t>
    </r>
  </si>
  <si>
    <r>
      <t xml:space="preserve">·       </t>
    </r>
    <r>
      <rPr>
        <b/>
        <sz val="9"/>
        <color theme="1"/>
        <rFont val="Times New Roman"/>
        <family val="1"/>
      </rPr>
      <t>NIST SP 800-53</t>
    </r>
    <r>
      <rPr>
        <sz val="9"/>
        <color theme="1"/>
        <rFont val="Times New Roman"/>
        <family val="1"/>
      </rPr>
      <t xml:space="preserve"> </t>
    </r>
    <r>
      <rPr>
        <b/>
        <sz val="9"/>
        <color theme="1"/>
        <rFont val="Times New Roman"/>
        <family val="1"/>
      </rPr>
      <t>Rev. 4</t>
    </r>
    <r>
      <rPr>
        <sz val="9"/>
        <color theme="1"/>
        <rFont val="Times New Roman"/>
        <family val="1"/>
      </rPr>
      <t xml:space="preserve"> </t>
    </r>
    <r>
      <rPr>
        <sz val="9"/>
        <color rgb="FF000000"/>
        <rFont val="Times New Roman"/>
        <family val="1"/>
      </rPr>
      <t>CP-10, IR-4, IR-8</t>
    </r>
  </si>
  <si>
    <r>
      <t xml:space="preserve">Improvements (RC.IM): </t>
    </r>
    <r>
      <rPr>
        <sz val="9"/>
        <color theme="1"/>
        <rFont val="Times New Roman"/>
        <family val="1"/>
      </rPr>
      <t>Recovery planning and processes are improved by incorporating lessons learned into future activities.</t>
    </r>
  </si>
  <si>
    <r>
      <t xml:space="preserve">RC.IM-1: </t>
    </r>
    <r>
      <rPr>
        <sz val="9"/>
        <color rgb="FF000000"/>
        <rFont val="Times New Roman"/>
        <family val="1"/>
      </rPr>
      <t>Recovery plans incorporate lessons learned</t>
    </r>
  </si>
  <si>
    <r>
      <t xml:space="preserve">·       </t>
    </r>
    <r>
      <rPr>
        <b/>
        <sz val="9"/>
        <color rgb="FF000000"/>
        <rFont val="Times New Roman"/>
        <family val="1"/>
      </rPr>
      <t xml:space="preserve">COBIT 5 </t>
    </r>
    <r>
      <rPr>
        <sz val="9"/>
        <color rgb="FF000000"/>
        <rFont val="Times New Roman"/>
        <family val="1"/>
      </rPr>
      <t>BAI05.07</t>
    </r>
  </si>
  <si>
    <r>
      <t xml:space="preserve">·       </t>
    </r>
    <r>
      <rPr>
        <b/>
        <sz val="9"/>
        <color theme="1"/>
        <rFont val="Times New Roman"/>
        <family val="1"/>
      </rPr>
      <t xml:space="preserve">ISA 62443-2-1 </t>
    </r>
    <r>
      <rPr>
        <sz val="9"/>
        <color theme="1"/>
        <rFont val="Times New Roman"/>
        <family val="1"/>
      </rPr>
      <t>4.4.3.4</t>
    </r>
  </si>
  <si>
    <r>
      <t xml:space="preserve">RC.IM-2: </t>
    </r>
    <r>
      <rPr>
        <sz val="9"/>
        <color rgb="FF000000"/>
        <rFont val="Times New Roman"/>
        <family val="1"/>
      </rPr>
      <t>Recovery strategies are updated</t>
    </r>
  </si>
  <si>
    <r>
      <t xml:space="preserve">·       </t>
    </r>
    <r>
      <rPr>
        <b/>
        <sz val="9"/>
        <color rgb="FF000000"/>
        <rFont val="Times New Roman"/>
        <family val="1"/>
      </rPr>
      <t xml:space="preserve">COBIT 5 </t>
    </r>
    <r>
      <rPr>
        <sz val="9"/>
        <color rgb="FF000000"/>
        <rFont val="Times New Roman"/>
        <family val="1"/>
      </rPr>
      <t>BAI07.08</t>
    </r>
  </si>
  <si>
    <r>
      <t xml:space="preserve">·       </t>
    </r>
    <r>
      <rPr>
        <b/>
        <sz val="9"/>
        <color rgb="FF000000"/>
        <rFont val="Times New Roman"/>
        <family val="1"/>
      </rPr>
      <t>NIST SP 800-53 Rev. 4</t>
    </r>
    <r>
      <rPr>
        <sz val="9"/>
        <color rgb="FF000000"/>
        <rFont val="Times New Roman"/>
        <family val="1"/>
      </rPr>
      <t xml:space="preserve"> CP-2, IR-4, IR-8</t>
    </r>
  </si>
  <si>
    <r>
      <t xml:space="preserve">Communications (RC.CO): </t>
    </r>
    <r>
      <rPr>
        <sz val="9"/>
        <color theme="1"/>
        <rFont val="Times New Roman"/>
        <family val="1"/>
      </rPr>
      <t>Restoration activities are coordinated with internal and external parties, such as coordinating centers, Internet Service Providers, owners of attacking systems, victims, other CSIRTs, and vendors.</t>
    </r>
  </si>
  <si>
    <r>
      <t xml:space="preserve">RC.CO-1: </t>
    </r>
    <r>
      <rPr>
        <sz val="9"/>
        <color rgb="FF000000"/>
        <rFont val="Times New Roman"/>
        <family val="1"/>
      </rPr>
      <t>Public relations are managed</t>
    </r>
  </si>
  <si>
    <r>
      <t xml:space="preserve">·       </t>
    </r>
    <r>
      <rPr>
        <b/>
        <sz val="9"/>
        <color rgb="FF000000"/>
        <rFont val="Times New Roman"/>
        <family val="1"/>
      </rPr>
      <t>COBIT 5</t>
    </r>
    <r>
      <rPr>
        <sz val="9"/>
        <color rgb="FF000000"/>
        <rFont val="Times New Roman"/>
        <family val="1"/>
      </rPr>
      <t xml:space="preserve"> EDM03.02</t>
    </r>
  </si>
  <si>
    <r>
      <t xml:space="preserve">RC.CO-2: </t>
    </r>
    <r>
      <rPr>
        <sz val="9"/>
        <color rgb="FF000000"/>
        <rFont val="Times New Roman"/>
        <family val="1"/>
      </rPr>
      <t>Reputation after an event is repaired</t>
    </r>
  </si>
  <si>
    <r>
      <t xml:space="preserve">·       </t>
    </r>
    <r>
      <rPr>
        <b/>
        <sz val="9"/>
        <color rgb="FF000000"/>
        <rFont val="Times New Roman"/>
        <family val="1"/>
      </rPr>
      <t xml:space="preserve">COBIT 5 </t>
    </r>
    <r>
      <rPr>
        <sz val="9"/>
        <color rgb="FF000000"/>
        <rFont val="Times New Roman"/>
        <family val="1"/>
      </rPr>
      <t>MEA03.02</t>
    </r>
  </si>
  <si>
    <r>
      <t xml:space="preserve">RC.CO-3: </t>
    </r>
    <r>
      <rPr>
        <sz val="9"/>
        <color rgb="FF000000"/>
        <rFont val="Times New Roman"/>
        <family val="1"/>
      </rPr>
      <t>Recovery activities are communicated to internal stakeholders and executive and management teams</t>
    </r>
  </si>
  <si>
    <r>
      <t xml:space="preserve">·       </t>
    </r>
    <r>
      <rPr>
        <b/>
        <sz val="9"/>
        <color rgb="FF000000"/>
        <rFont val="Times New Roman"/>
        <family val="1"/>
      </rPr>
      <t xml:space="preserve">NIST SP 800-53 Rev. 4 </t>
    </r>
    <r>
      <rPr>
        <sz val="9"/>
        <color rgb="FF000000"/>
        <rFont val="Times New Roman"/>
        <family val="1"/>
      </rPr>
      <t xml:space="preserve">CP-2, IR-4 </t>
    </r>
  </si>
  <si>
    <t>PREPARATION (PR)</t>
  </si>
  <si>
    <r>
      <rPr>
        <b/>
        <sz val="10"/>
        <color rgb="FF002060"/>
        <rFont val="Calibri"/>
        <family val="2"/>
      </rPr>
      <t>Incident Analysis hardware and software:</t>
    </r>
    <r>
      <rPr>
        <sz val="10"/>
        <color rgb="FF002060"/>
        <rFont val="Calibri"/>
        <family val="2"/>
      </rPr>
      <t xml:space="preserve">
Digital Forensics Workstation and backup devices.
Jump Kits(workstations/laptops with all the incident analysis hardware software)</t>
    </r>
  </si>
  <si>
    <r>
      <rPr>
        <b/>
        <sz val="10"/>
        <color rgb="FF002060"/>
        <rFont val="Calibri"/>
        <family val="2"/>
      </rPr>
      <t xml:space="preserve">Incident Mitigation Software:
</t>
    </r>
    <r>
      <rPr>
        <sz val="10"/>
        <color rgb="FF002060"/>
        <rFont val="Calibri"/>
        <family val="2"/>
      </rPr>
      <t>Access to image</t>
    </r>
  </si>
  <si>
    <t>Risk Assessment</t>
  </si>
  <si>
    <t>Malware prevention</t>
  </si>
  <si>
    <t>User awareness and training</t>
  </si>
  <si>
    <t>2 - DETECTION AND ANALYSIS (DA)</t>
  </si>
  <si>
    <t>DETECTION AND ANALYSIS (DA) Grand Total</t>
  </si>
  <si>
    <t>Attack Vectors</t>
  </si>
  <si>
    <t>Signs of an incident</t>
  </si>
  <si>
    <t>Sources of precursors and indicators</t>
  </si>
  <si>
    <t>Incident Analysis</t>
  </si>
  <si>
    <t>Incident documentation</t>
  </si>
  <si>
    <t>Incident prioritization</t>
  </si>
  <si>
    <t>Incident Notification</t>
  </si>
  <si>
    <t>External/Removable Media</t>
  </si>
  <si>
    <t>Preparation (PR) Grand Total</t>
  </si>
  <si>
    <r>
      <rPr>
        <b/>
        <sz val="10"/>
        <color rgb="FF002060"/>
        <rFont val="Calibri"/>
        <family val="2"/>
      </rPr>
      <t>Inciden Analysis resources:</t>
    </r>
    <r>
      <rPr>
        <sz val="10"/>
        <color rgb="FF002060"/>
        <rFont val="Calibri"/>
        <family val="2"/>
      </rPr>
      <t xml:space="preserve">
Port Lists
Documentation for security products
Network Diagrams and list of critical assets
Current baselines(All the exiting incident related baselines including incident clasification)</t>
    </r>
  </si>
  <si>
    <t>Attrition(e.g. ddos, bruteforce)</t>
  </si>
  <si>
    <t>Loss or Theft of equipment</t>
  </si>
  <si>
    <t>Web(e.g xss, sql injection etc)</t>
  </si>
  <si>
    <t>Email(e.g Phishing, malware)</t>
  </si>
  <si>
    <t>Impersonation(e.g spoofing, MITM, rogue dns or dhcp)</t>
  </si>
  <si>
    <t>Improper usage(e.g. org policy breach)</t>
  </si>
  <si>
    <t>others( if incident can not be categorised)</t>
  </si>
  <si>
    <t>Focus on precursors(e.g vulnerability data, announcement of a new targeted exploit)</t>
  </si>
  <si>
    <t>Focus on indicators(e.g. Signatures detected in AV, IDS, SIEM use cases)</t>
  </si>
  <si>
    <t>IDPSs</t>
  </si>
  <si>
    <t>SIEM</t>
  </si>
  <si>
    <t>Antivirus and Antispam Softwares</t>
  </si>
  <si>
    <t>File integrity checking softwares</t>
  </si>
  <si>
    <t>Third party monitoring services(e.g. fraud detection)</t>
  </si>
  <si>
    <t>Logs from Operating systems, Services and applications, Network Devices</t>
  </si>
  <si>
    <t>Flows from the network</t>
  </si>
  <si>
    <t>Publicly available information like Vulnerabilities and exploits</t>
  </si>
  <si>
    <t>Incident reporting from people within the organization</t>
  </si>
  <si>
    <t>Incident reporting from people outside the organization</t>
  </si>
  <si>
    <t>Network and systems profiling</t>
  </si>
  <si>
    <t>Understanding of normal behaviors</t>
  </si>
  <si>
    <t>Creation of a log retention policy</t>
  </si>
  <si>
    <t>Performing event correlation</t>
  </si>
  <si>
    <t>Keeping a check on all hosts clock sync</t>
  </si>
  <si>
    <t>Maintaining and usage of KB of information</t>
  </si>
  <si>
    <t>Usage of internet for research on threats and vunerabilities</t>
  </si>
  <si>
    <t>Usage of network flows to collect additional data</t>
  </si>
  <si>
    <t>Efficient data filtering for analysis</t>
  </si>
  <si>
    <t>Seeking help from others(e.g. CSIRT, outside IR expertise)</t>
  </si>
  <si>
    <t>Preparing to Handle Incident Total</t>
  </si>
  <si>
    <t>Preventing Incidents Total</t>
  </si>
  <si>
    <t>The current status of the incident (new, in progress, forwarded for investigation, resolved, etc.)</t>
  </si>
  <si>
    <t>A summary of the incident</t>
  </si>
  <si>
    <t>Indicators related to the incident</t>
  </si>
  <si>
    <t>Other incidents related to this incident</t>
  </si>
  <si>
    <t>Actions taken by all incident handlers on this incident</t>
  </si>
  <si>
    <t>Chain of custody, if applicable</t>
  </si>
  <si>
    <t>Impact assessments related to the incident</t>
  </si>
  <si>
    <t>Contact information for other involved parties (e.g., system owners, system administrators)</t>
  </si>
  <si>
    <t>A list of evidence gathered during the incident investigation</t>
  </si>
  <si>
    <t>Comments from incident handlers</t>
  </si>
  <si>
    <t>Next steps to be taken (e.g., rebuild the host, upgrade an application).</t>
  </si>
  <si>
    <r>
      <rPr>
        <b/>
        <sz val="10"/>
        <color rgb="FF002060"/>
        <rFont val="Calibri"/>
        <family val="2"/>
      </rPr>
      <t>Handling should be prioritized based on the relevant factors, such as the following:</t>
    </r>
    <r>
      <rPr>
        <sz val="10"/>
        <color rgb="FF002060"/>
        <rFont val="Calibri"/>
        <family val="2"/>
      </rPr>
      <t xml:space="preserve">
Functional impact of the incident
Information impact of the incident
Recoverability from the incident</t>
    </r>
  </si>
  <si>
    <r>
      <rPr>
        <b/>
        <sz val="10"/>
        <color rgb="FF002060"/>
        <rFont val="Calibri"/>
        <family val="2"/>
      </rPr>
      <t xml:space="preserve">The exact reporting requirements vary among
organizations, but parties that are typically notified include:
</t>
    </r>
    <r>
      <rPr>
        <sz val="10"/>
        <color rgb="FF002060"/>
        <rFont val="Calibri"/>
        <family val="2"/>
      </rPr>
      <t>CIO
Head of information security
Local information security officer
Other incident response teams within the organization
External incident response teams (if appropriate)
System owner
Human resources (for cases involving employees, such as harassment through email)
Public affairs (for incidents that may generate publicity)
Legal department (for incidents with potential legal ramifications)
US-CERT (required for Federal agencies and systems operated on behalf of the Federal government;
see Section 2.3.4.3)
Law enforcement (if appropriate)</t>
    </r>
  </si>
  <si>
    <t>3 - Containment, Eradication &amp; Recovery (CER)</t>
  </si>
  <si>
    <t>Containment, Eradication &amp; Recovery (CER) Grand Total</t>
  </si>
  <si>
    <t>4 - Post Incident Activity (PIA)</t>
  </si>
  <si>
    <t>Post Incident Activity (PIA) Grand Total</t>
  </si>
  <si>
    <t>Choosing a Containment Strategy Total</t>
  </si>
  <si>
    <t>Containment strategies based on incident types</t>
  </si>
  <si>
    <t>Documented criterias based on incident types to facilitate decision making</t>
  </si>
  <si>
    <t>Evidence gathering and handling Total</t>
  </si>
  <si>
    <r>
      <rPr>
        <b/>
        <sz val="10"/>
        <color rgb="FF002060"/>
        <rFont val="Calibri"/>
        <family val="2"/>
      </rPr>
      <t>A detailed log should be kept for all evidence, including the following:</t>
    </r>
    <r>
      <rPr>
        <sz val="10"/>
        <color rgb="FF002060"/>
        <rFont val="Calibri"/>
        <family val="2"/>
      </rPr>
      <t xml:space="preserve">
Identifying information (e.g., the location, serial number, model number, hostname, media access control (MAC) addresses, and IP addresses of a computer)
Name, title, and phone number of each individual who collected or handled the evidence during the investigation
Time and date (including time zone) of each occurrence of evidence handling
Locations where the evidence was stored.</t>
    </r>
  </si>
  <si>
    <t>Get a snapshot of the system as-is rather than doing so after
incident handlers, system administrators, and others have inadvertently altered the state of the machine
during the investigation</t>
  </si>
  <si>
    <t>Identifying the attacking hosts Total</t>
  </si>
  <si>
    <t>Eradication and Reccovery</t>
  </si>
  <si>
    <t>Validating if the Attacking Host’s IP Address is spoofed</t>
  </si>
  <si>
    <t>Researching the Attacking Host through Search Engines</t>
  </si>
  <si>
    <t>Using Incident Databases(Internal and external forums)</t>
  </si>
  <si>
    <t>Monitoring Possible Attacker Communication Channels(e.g. IRC)</t>
  </si>
  <si>
    <t>Validating if threat/malware from all the affected hosts in the organization have been eradicated</t>
  </si>
  <si>
    <r>
      <rPr>
        <b/>
        <sz val="10"/>
        <color rgb="FF002060"/>
        <rFont val="Calibri"/>
        <family val="2"/>
      </rPr>
      <t>Post recovery validations:</t>
    </r>
    <r>
      <rPr>
        <sz val="10"/>
        <color rgb="FF002060"/>
        <rFont val="Calibri"/>
        <family val="2"/>
      </rPr>
      <t xml:space="preserve">
Normal system functions
Remidiate vulnerabilities
Patching</t>
    </r>
  </si>
  <si>
    <t>Lessons Learned Total</t>
  </si>
  <si>
    <t>Using Collected Incident Data Total</t>
  </si>
  <si>
    <t>Evidence Retenion Total</t>
  </si>
  <si>
    <r>
      <rPr>
        <b/>
        <sz val="9"/>
        <color rgb="FF002060"/>
        <rFont val="Calibri"/>
        <family val="2"/>
      </rPr>
      <t>Lessons learned from the incident should be answered and documented as follows:</t>
    </r>
    <r>
      <rPr>
        <sz val="9"/>
        <color rgb="FF002060"/>
        <rFont val="Calibri"/>
        <family val="2"/>
      </rPr>
      <t xml:space="preserve">
Exactly what happened, and at what times?
How well did staff and management perform in dealing with the incident? Were the documented
procedures followed? Were they adequate?
What information was needed sooner?
Were any steps or actions taken that might have inhibited the recovery?
What would the staff and management do differently the next time a similar incident occurs?
How could information sharing with other organizations have been improved?
What corrective actions can prevent similar incidents in the future?
What precursors or indicators should be watched for in the future to detect similar incidents?
What additional tools or resources are needed to detect, analyze, and mitigate future incidents?</t>
    </r>
  </si>
  <si>
    <t>Follow up report for each incident for future reference</t>
  </si>
  <si>
    <t>Number of Incidents Handled</t>
  </si>
  <si>
    <t>Subjective Assessment of Each Incident(e.g. performance of team, each resource, other teams, customer feedbacks)</t>
  </si>
  <si>
    <t>Objective Assessment of Each Incident (e.g. impact analysis, trend assessment, efficiency)</t>
  </si>
  <si>
    <t>Time Per Incident (e.g. FTE, response time)</t>
  </si>
  <si>
    <t>Retention policy based on prosecution on attacker</t>
  </si>
  <si>
    <t>Retention policy based on organization baseline</t>
  </si>
  <si>
    <t>DETECTION &amp; ANALYSIS (DA)</t>
  </si>
  <si>
    <t>CONTAINMENT, ERADICATOIN &amp; RECOVERY (CER)</t>
  </si>
  <si>
    <t>POST INCIDENT ACTIVITY (PIA)</t>
  </si>
  <si>
    <t>Host Security (e.g. hardening, patching, RBAC etc)</t>
  </si>
  <si>
    <t>Network Security (e.g. firewall policies, VPNs, NACs etc)</t>
  </si>
  <si>
    <r>
      <rPr>
        <b/>
        <sz val="10"/>
        <color rgb="FF002060"/>
        <rFont val="Calibri"/>
        <family val="2"/>
      </rPr>
      <t>Incident Handler communications and facilites:</t>
    </r>
    <r>
      <rPr>
        <sz val="10"/>
        <color rgb="FF002060"/>
        <rFont val="Calibri"/>
        <family val="2"/>
      </rPr>
      <t xml:space="preserve">
Contact information
On-call information
Incident reporting mechanism
Issue tracking system
Encryption Software
War room
Secure storage facilities</t>
    </r>
  </si>
  <si>
    <t>Evidence Retention Total</t>
  </si>
  <si>
    <t>Eradication and Recovery</t>
  </si>
  <si>
    <t>Preparation</t>
  </si>
  <si>
    <t>Detection and Analysis</t>
  </si>
  <si>
    <t>Containment, Eradication and Recovery</t>
  </si>
  <si>
    <t>Post Incident Activity</t>
  </si>
  <si>
    <t>Gaps Identified</t>
  </si>
  <si>
    <t>Preparing to Handle Incident</t>
  </si>
  <si>
    <t>Preventing Incidents</t>
  </si>
  <si>
    <t>Choosing a Containment Strategy</t>
  </si>
  <si>
    <t>Evidence gathering and handling</t>
  </si>
  <si>
    <t>Identifying the attacking hosts</t>
  </si>
  <si>
    <t>Lessons Learned</t>
  </si>
  <si>
    <t>Using Collected Incident Data</t>
  </si>
  <si>
    <t>Evidence Retention</t>
  </si>
  <si>
    <t>Q1 2022</t>
  </si>
  <si>
    <t>Deloitte SOC Impact</t>
  </si>
  <si>
    <t>H1 2023</t>
  </si>
  <si>
    <t>H2 2023</t>
  </si>
  <si>
    <t>Low</t>
  </si>
  <si>
    <t>High</t>
  </si>
  <si>
    <t>Medium</t>
  </si>
  <si>
    <t>Max Score</t>
  </si>
  <si>
    <t>Total Controls</t>
  </si>
  <si>
    <t>Controls where SOC has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</si>
</sst>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8" x14ac:knownFonts="1">
    <font>
      <sz val="11"/>
      <color theme="1"/>
      <name val="Calibri"/>
      <family val="2"/>
      <scheme val="minor"/>
    </font>
    <font>
      <sz val="11"/>
      <color theme="0"/>
      <name val="Calibri"/>
      <family val="2"/>
      <scheme val="minor"/>
    </font>
    <font>
      <sz val="10"/>
      <color indexed="8"/>
      <name val="Calibri"/>
      <family val="2"/>
    </font>
    <font>
      <b/>
      <sz val="10"/>
      <name val="Calibri"/>
      <family val="2"/>
    </font>
    <font>
      <sz val="10"/>
      <color indexed="62"/>
      <name val="Calibri"/>
      <family val="2"/>
    </font>
    <font>
      <b/>
      <sz val="10"/>
      <color indexed="62"/>
      <name val="Calibri"/>
      <family val="2"/>
    </font>
    <font>
      <sz val="11"/>
      <color indexed="8"/>
      <name val="Calibri"/>
      <family val="2"/>
    </font>
    <font>
      <sz val="11"/>
      <color indexed="8"/>
      <name val="Book Antiqua"/>
      <family val="1"/>
    </font>
    <font>
      <sz val="10"/>
      <color rgb="FF002060"/>
      <name val="Calibri"/>
      <family val="2"/>
    </font>
    <font>
      <sz val="9"/>
      <color indexed="8"/>
      <name val="Calibri"/>
      <family val="2"/>
    </font>
    <font>
      <sz val="10"/>
      <name val="Calibri"/>
      <family val="2"/>
    </font>
    <font>
      <sz val="10"/>
      <name val="Arial"/>
      <family val="2"/>
    </font>
    <font>
      <b/>
      <sz val="11"/>
      <color indexed="8"/>
      <name val="Calibri"/>
      <family val="2"/>
    </font>
    <font>
      <b/>
      <sz val="11"/>
      <color indexed="9"/>
      <name val="Calibri"/>
      <family val="2"/>
    </font>
    <font>
      <u/>
      <sz val="8.8000000000000007"/>
      <color indexed="12"/>
      <name val="Calibri"/>
      <family val="2"/>
    </font>
    <font>
      <b/>
      <sz val="11"/>
      <color theme="0"/>
      <name val="Calibri"/>
      <family val="2"/>
      <scheme val="minor"/>
    </font>
    <font>
      <b/>
      <sz val="14"/>
      <color theme="0"/>
      <name val="Times New Roman"/>
      <family val="1"/>
    </font>
    <font>
      <sz val="8"/>
      <color indexed="8"/>
      <name val="Arial"/>
      <family val="2"/>
    </font>
    <font>
      <sz val="10"/>
      <color theme="0"/>
      <name val="Calibri"/>
      <family val="2"/>
    </font>
    <font>
      <b/>
      <sz val="14"/>
      <color theme="0"/>
      <name val="Calibri"/>
      <family val="2"/>
    </font>
    <font>
      <b/>
      <sz val="10"/>
      <color rgb="FF002060"/>
      <name val="Calibri"/>
      <family val="2"/>
    </font>
    <font>
      <sz val="9"/>
      <color rgb="FF002060"/>
      <name val="Calibri"/>
      <family val="2"/>
    </font>
    <font>
      <b/>
      <sz val="11"/>
      <color rgb="FF002060"/>
      <name val="Calibri"/>
      <family val="2"/>
    </font>
    <font>
      <b/>
      <sz val="9"/>
      <color theme="0"/>
      <name val="Calibri"/>
      <family val="2"/>
      <scheme val="minor"/>
    </font>
    <font>
      <sz val="12"/>
      <color theme="1"/>
      <name val="Calibri"/>
      <family val="2"/>
      <scheme val="minor"/>
    </font>
    <font>
      <b/>
      <sz val="10"/>
      <color theme="1"/>
      <name val="Calibri"/>
      <family val="2"/>
    </font>
    <font>
      <sz val="9"/>
      <color theme="1"/>
      <name val="Calibri"/>
      <family val="2"/>
      <scheme val="minor"/>
    </font>
    <font>
      <b/>
      <sz val="9"/>
      <color rgb="FFFFFFFF"/>
      <name val="Times New Roman"/>
      <family val="1"/>
    </font>
    <font>
      <b/>
      <sz val="9"/>
      <color theme="1"/>
      <name val="Times New Roman"/>
      <family val="1"/>
    </font>
    <font>
      <sz val="9"/>
      <color theme="1"/>
      <name val="Times New Roman"/>
      <family val="1"/>
    </font>
    <font>
      <b/>
      <sz val="9"/>
      <color rgb="FF000000"/>
      <name val="Times New Roman"/>
      <family val="1"/>
    </font>
    <font>
      <sz val="9"/>
      <color rgb="FF000000"/>
      <name val="Times New Roman"/>
      <family val="1"/>
    </font>
    <font>
      <b/>
      <sz val="9"/>
      <color rgb="FF002060"/>
      <name val="Calibri"/>
      <family val="2"/>
    </font>
    <font>
      <b/>
      <sz val="11"/>
      <color theme="1"/>
      <name val="Calibri"/>
      <family val="2"/>
      <scheme val="minor"/>
    </font>
    <font>
      <sz val="10"/>
      <color theme="1"/>
      <name val="Calibri"/>
      <family val="2"/>
      <scheme val="minor"/>
    </font>
    <font>
      <b/>
      <sz val="10"/>
      <color theme="1"/>
      <name val="Calibri"/>
      <family val="2"/>
      <scheme val="minor"/>
    </font>
    <font>
      <sz val="12"/>
      <color rgb="FF000000"/>
      <name val="Calibri"/>
      <family val="2"/>
    </font>
    <font>
      <b/>
      <sz val="12"/>
      <color rgb="FF002060"/>
      <name val="Calibri"/>
      <family val="2"/>
    </font>
  </fonts>
  <fills count="25">
    <fill>
      <patternFill patternType="none"/>
    </fill>
    <fill>
      <patternFill patternType="gray125"/>
    </fill>
    <fill>
      <patternFill patternType="solid">
        <fgColor rgb="FF0070C0"/>
        <bgColor indexed="64"/>
      </patternFill>
    </fill>
    <fill>
      <patternFill patternType="solid">
        <fgColor theme="0" tint="-0.14999847407452621"/>
        <bgColor indexed="64"/>
      </patternFill>
    </fill>
    <fill>
      <patternFill patternType="solid">
        <fgColor indexed="62"/>
      </patternFill>
    </fill>
    <fill>
      <patternFill patternType="solid">
        <fgColor indexed="22"/>
        <bgColor indexed="22"/>
      </patternFill>
    </fill>
    <fill>
      <patternFill patternType="solid">
        <fgColor rgb="FF002060"/>
        <bgColor indexed="64"/>
      </patternFill>
    </fill>
    <fill>
      <patternFill patternType="solid">
        <fgColor theme="4" tint="-0.249977111117893"/>
        <bgColor indexed="64"/>
      </patternFill>
    </fill>
    <fill>
      <patternFill patternType="solid">
        <fgColor rgb="FFC00000"/>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rgb="FFCCCC00"/>
        <bgColor indexed="64"/>
      </patternFill>
    </fill>
    <fill>
      <patternFill patternType="solid">
        <fgColor rgb="FF92D050"/>
        <bgColor indexed="64"/>
      </patternFill>
    </fill>
    <fill>
      <patternFill patternType="solid">
        <fgColor rgb="FF92D050"/>
        <bgColor indexed="31"/>
      </patternFill>
    </fill>
    <fill>
      <patternFill patternType="solid">
        <fgColor rgb="FF92D050"/>
        <bgColor indexed="36"/>
      </patternFill>
    </fill>
    <fill>
      <patternFill patternType="solid">
        <fgColor rgb="FFFFFFFF"/>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rgb="FFD9D9D9"/>
        <bgColor indexed="64"/>
      </patternFill>
    </fill>
    <fill>
      <patternFill patternType="solid">
        <fgColor theme="5"/>
        <bgColor indexed="64"/>
      </patternFill>
    </fill>
    <fill>
      <patternFill patternType="solid">
        <fgColor rgb="FFFFC000"/>
        <bgColor indexed="64"/>
      </patternFill>
    </fill>
    <fill>
      <patternFill patternType="solid">
        <fgColor rgb="FF00B0F0"/>
        <bgColor indexed="64"/>
      </patternFill>
    </fill>
    <fill>
      <patternFill patternType="solid">
        <fgColor rgb="FFC0C0C0"/>
        <bgColor indexed="64"/>
      </patternFill>
    </fill>
  </fills>
  <borders count="61">
    <border>
      <left/>
      <right/>
      <top/>
      <bottom/>
      <diagonal/>
    </border>
    <border>
      <left style="thin">
        <color indexed="62"/>
      </left>
      <right/>
      <top/>
      <bottom style="thin">
        <color indexed="62"/>
      </bottom>
      <diagonal/>
    </border>
    <border>
      <left/>
      <right/>
      <top/>
      <bottom style="thin">
        <color indexed="62"/>
      </bottom>
      <diagonal/>
    </border>
    <border>
      <left/>
      <right style="thin">
        <color indexed="62"/>
      </right>
      <top/>
      <bottom style="thin">
        <color indexed="62"/>
      </bottom>
      <diagonal/>
    </border>
    <border>
      <left style="thin">
        <color indexed="62"/>
      </left>
      <right style="thin">
        <color indexed="62"/>
      </right>
      <top style="thin">
        <color indexed="62"/>
      </top>
      <bottom style="thin">
        <color indexed="62"/>
      </bottom>
      <diagonal/>
    </border>
    <border>
      <left style="thin">
        <color indexed="62"/>
      </left>
      <right/>
      <top/>
      <bottom/>
      <diagonal/>
    </border>
    <border>
      <left/>
      <right/>
      <top style="thin">
        <color indexed="62"/>
      </top>
      <bottom style="thin">
        <color indexed="62"/>
      </bottom>
      <diagonal/>
    </border>
    <border>
      <left/>
      <right style="thin">
        <color indexed="62"/>
      </right>
      <top style="thin">
        <color indexed="62"/>
      </top>
      <bottom style="thin">
        <color indexed="62"/>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style="hair">
        <color rgb="FF92D050"/>
      </left>
      <right style="hair">
        <color rgb="FF92D050"/>
      </right>
      <top style="hair">
        <color rgb="FF92D050"/>
      </top>
      <bottom style="hair">
        <color rgb="FF92D050"/>
      </bottom>
      <diagonal/>
    </border>
    <border>
      <left/>
      <right/>
      <top style="thin">
        <color theme="0"/>
      </top>
      <bottom/>
      <diagonal/>
    </border>
    <border>
      <left style="dotted">
        <color rgb="FF92D050"/>
      </left>
      <right style="dotted">
        <color rgb="FF92D050"/>
      </right>
      <top style="hair">
        <color rgb="FF92D050"/>
      </top>
      <bottom style="dotted">
        <color rgb="FF92D050"/>
      </bottom>
      <diagonal/>
    </border>
    <border>
      <left/>
      <right style="dotted">
        <color rgb="FF92D050"/>
      </right>
      <top style="dotted">
        <color rgb="FF92D050"/>
      </top>
      <bottom style="dotted">
        <color rgb="FF92D050"/>
      </bottom>
      <diagonal/>
    </border>
    <border>
      <left style="dotted">
        <color rgb="FF92D050"/>
      </left>
      <right style="dotted">
        <color rgb="FF92D050"/>
      </right>
      <top style="dotted">
        <color rgb="FF92D050"/>
      </top>
      <bottom style="dotted">
        <color rgb="FF92D050"/>
      </bottom>
      <diagonal/>
    </border>
    <border>
      <left style="hair">
        <color rgb="FF92D050"/>
      </left>
      <right style="hair">
        <color rgb="FF92D050"/>
      </right>
      <top style="thin">
        <color rgb="FF002060"/>
      </top>
      <bottom style="hair">
        <color rgb="FF92D050"/>
      </bottom>
      <diagonal/>
    </border>
    <border>
      <left style="hair">
        <color auto="1"/>
      </left>
      <right/>
      <top style="thin">
        <color auto="1"/>
      </top>
      <bottom/>
      <diagonal/>
    </border>
    <border>
      <left style="hair">
        <color rgb="FF92D050"/>
      </left>
      <right style="hair">
        <color rgb="FF92D050"/>
      </right>
      <top/>
      <bottom style="hair">
        <color rgb="FF92D050"/>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medium">
        <color auto="1"/>
      </left>
      <right style="medium">
        <color auto="1"/>
      </right>
      <top/>
      <bottom/>
      <diagonal/>
    </border>
    <border>
      <left style="thin">
        <color indexed="62"/>
      </left>
      <right style="thin">
        <color indexed="62"/>
      </right>
      <top style="thin">
        <color indexed="62"/>
      </top>
      <bottom/>
      <diagonal/>
    </border>
    <border>
      <left style="thin">
        <color indexed="62"/>
      </left>
      <right style="thin">
        <color indexed="62"/>
      </right>
      <top style="thin">
        <color indexed="62"/>
      </top>
      <bottom style="thin">
        <color auto="1"/>
      </bottom>
      <diagonal/>
    </border>
    <border>
      <left/>
      <right/>
      <top style="thin">
        <color auto="1"/>
      </top>
      <bottom style="thin">
        <color rgb="FF002060"/>
      </bottom>
      <diagonal/>
    </border>
    <border>
      <left style="hair">
        <color rgb="FF92D050"/>
      </left>
      <right style="hair">
        <color rgb="FF92D050"/>
      </right>
      <top style="thin">
        <color auto="1"/>
      </top>
      <bottom style="thin">
        <color rgb="FF002060"/>
      </bottom>
      <diagonal/>
    </border>
    <border>
      <left style="dotted">
        <color rgb="FF92D050"/>
      </left>
      <right style="thin">
        <color indexed="62"/>
      </right>
      <top style="dotted">
        <color rgb="FF92D050"/>
      </top>
      <bottom style="dotted">
        <color rgb="FF92D050"/>
      </bottom>
      <diagonal/>
    </border>
    <border>
      <left/>
      <right style="dotted">
        <color rgb="FF92D050"/>
      </right>
      <top style="dotted">
        <color rgb="FF92D050"/>
      </top>
      <bottom/>
      <diagonal/>
    </border>
    <border>
      <left style="dotted">
        <color rgb="FF92D050"/>
      </left>
      <right style="dotted">
        <color rgb="FF92D050"/>
      </right>
      <top style="dotted">
        <color rgb="FF92D050"/>
      </top>
      <bottom/>
      <diagonal/>
    </border>
    <border>
      <left style="dotted">
        <color rgb="FF92D050"/>
      </left>
      <right style="thin">
        <color indexed="62"/>
      </right>
      <top style="dotted">
        <color rgb="FF92D050"/>
      </top>
      <bottom/>
      <diagonal/>
    </border>
    <border>
      <left/>
      <right style="dotted">
        <color rgb="FF92D050"/>
      </right>
      <top/>
      <bottom style="dotted">
        <color rgb="FF92D050"/>
      </bottom>
      <diagonal/>
    </border>
    <border>
      <left style="dotted">
        <color rgb="FF92D050"/>
      </left>
      <right style="dotted">
        <color rgb="FF92D050"/>
      </right>
      <top/>
      <bottom style="dotted">
        <color rgb="FF92D050"/>
      </bottom>
      <diagonal/>
    </border>
    <border>
      <left style="dotted">
        <color rgb="FF92D050"/>
      </left>
      <right style="thin">
        <color indexed="62"/>
      </right>
      <top/>
      <bottom style="dotted">
        <color rgb="FF92D050"/>
      </bottom>
      <diagonal/>
    </border>
    <border>
      <left style="dotted">
        <color rgb="FF92D050"/>
      </left>
      <right style="dotted">
        <color rgb="FF92D050"/>
      </right>
      <top style="thin">
        <color auto="1"/>
      </top>
      <bottom style="thin">
        <color auto="1"/>
      </bottom>
      <diagonal/>
    </border>
    <border>
      <left style="dotted">
        <color rgb="FF92D050"/>
      </left>
      <right style="thin">
        <color rgb="FF002060"/>
      </right>
      <top style="thin">
        <color auto="1"/>
      </top>
      <bottom style="thin">
        <color auto="1"/>
      </bottom>
      <diagonal/>
    </border>
    <border>
      <left/>
      <right style="dotted">
        <color rgb="FF92D050"/>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hair">
        <color auto="1"/>
      </left>
      <right/>
      <top style="thin">
        <color auto="1"/>
      </top>
      <bottom style="thin">
        <color auto="1"/>
      </bottom>
      <diagonal/>
    </border>
    <border>
      <left/>
      <right style="hair">
        <color rgb="FF92D050"/>
      </right>
      <top style="thin">
        <color auto="1"/>
      </top>
      <bottom style="thin">
        <color auto="1"/>
      </bottom>
      <diagonal/>
    </border>
    <border>
      <left style="hair">
        <color rgb="FF92D050"/>
      </left>
      <right style="hair">
        <color rgb="FF92D050"/>
      </right>
      <top style="thin">
        <color auto="1"/>
      </top>
      <bottom style="thin">
        <color auto="1"/>
      </bottom>
      <diagonal/>
    </border>
    <border>
      <left style="dotted">
        <color rgb="FF92D050"/>
      </left>
      <right style="thin">
        <color indexed="62"/>
      </right>
      <top style="thin">
        <color auto="1"/>
      </top>
      <bottom style="thin">
        <color auto="1"/>
      </bottom>
      <diagonal/>
    </border>
    <border>
      <left/>
      <right style="thin">
        <color indexed="62"/>
      </right>
      <top style="thin">
        <color indexed="62"/>
      </top>
      <bottom/>
      <diagonal/>
    </border>
    <border>
      <left/>
      <right style="hair">
        <color rgb="FF92D050"/>
      </right>
      <top style="thin">
        <color auto="1"/>
      </top>
      <bottom style="thin">
        <color rgb="FF002060"/>
      </bottom>
      <diagonal/>
    </border>
    <border>
      <left style="dotted">
        <color rgb="FF92D050"/>
      </left>
      <right style="thin">
        <color indexed="62"/>
      </right>
      <top style="thin">
        <color auto="1"/>
      </top>
      <bottom style="dotted">
        <color rgb="FF92D050"/>
      </bottom>
      <diagonal/>
    </border>
    <border>
      <left/>
      <right/>
      <top style="thin">
        <color rgb="FF002060"/>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hair">
        <color rgb="FF92D050"/>
      </right>
      <top/>
      <bottom style="hair">
        <color rgb="FF92D050"/>
      </bottom>
      <diagonal/>
    </border>
    <border>
      <left/>
      <right style="hair">
        <color rgb="FF92D050"/>
      </right>
      <top style="hair">
        <color rgb="FF92D050"/>
      </top>
      <bottom style="hair">
        <color rgb="FF92D050"/>
      </bottom>
      <diagonal/>
    </border>
    <border>
      <left/>
      <right style="hair">
        <color rgb="FF92D050"/>
      </right>
      <top style="thin">
        <color rgb="FF002060"/>
      </top>
      <bottom style="hair">
        <color rgb="FF92D050"/>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medium">
        <color rgb="FF000000"/>
      </left>
      <right style="thin">
        <color rgb="FF000000"/>
      </right>
      <top style="thin">
        <color rgb="FF000000"/>
      </top>
      <bottom style="thin">
        <color rgb="FF000000"/>
      </bottom>
      <diagonal/>
    </border>
  </borders>
  <cellStyleXfs count="7">
    <xf numFmtId="0" fontId="0" fillId="0" borderId="0"/>
    <xf numFmtId="0" fontId="1" fillId="4" borderId="0" applyNumberFormat="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11" fillId="0" borderId="0"/>
    <xf numFmtId="0" fontId="14" fillId="0" borderId="0" applyNumberFormat="0" applyFill="0" applyBorder="0" applyAlignment="0" applyProtection="0">
      <alignment vertical="top"/>
      <protection locked="0"/>
    </xf>
    <xf numFmtId="0" fontId="24" fillId="0" borderId="0"/>
  </cellStyleXfs>
  <cellXfs count="226">
    <xf numFmtId="0" fontId="0" fillId="0" borderId="0" xfId="0"/>
    <xf numFmtId="0" fontId="2" fillId="0" borderId="0" xfId="0" applyFont="1" applyAlignment="1">
      <alignment vertical="top" wrapText="1"/>
    </xf>
    <xf numFmtId="0" fontId="2" fillId="0" borderId="0" xfId="0" applyFont="1" applyAlignment="1">
      <alignment horizontal="center" vertical="top" wrapText="1"/>
    </xf>
    <xf numFmtId="0" fontId="2" fillId="0" borderId="0" xfId="0" applyFont="1" applyAlignment="1">
      <alignment horizontal="center" vertical="center" wrapText="1"/>
    </xf>
    <xf numFmtId="9" fontId="2" fillId="0" borderId="0" xfId="3" applyFont="1" applyFill="1" applyBorder="1" applyAlignment="1">
      <alignment horizontal="center" vertical="center" wrapText="1"/>
    </xf>
    <xf numFmtId="9" fontId="2" fillId="0" borderId="0" xfId="3" applyFont="1" applyAlignment="1">
      <alignment horizontal="center" wrapText="1"/>
    </xf>
    <xf numFmtId="0" fontId="2" fillId="0" borderId="0" xfId="0" applyFont="1" applyAlignment="1">
      <alignment wrapText="1"/>
    </xf>
    <xf numFmtId="0" fontId="2" fillId="0" borderId="0" xfId="0" applyFont="1" applyAlignment="1">
      <alignment horizontal="center"/>
    </xf>
    <xf numFmtId="0" fontId="2" fillId="0" borderId="0" xfId="0" applyFont="1" applyAlignment="1">
      <alignment horizontal="center" vertical="center"/>
    </xf>
    <xf numFmtId="9" fontId="2" fillId="0" borderId="0" xfId="3" applyFont="1" applyFill="1" applyBorder="1" applyAlignment="1">
      <alignment horizontal="center" vertical="center"/>
    </xf>
    <xf numFmtId="9" fontId="2" fillId="0" borderId="0" xfId="3" applyFont="1" applyAlignment="1">
      <alignment horizontal="center"/>
    </xf>
    <xf numFmtId="0" fontId="2" fillId="0" borderId="0" xfId="0" applyFont="1"/>
    <xf numFmtId="0" fontId="7" fillId="0" borderId="0" xfId="0" applyFont="1" applyAlignment="1">
      <alignment horizontal="justify"/>
    </xf>
    <xf numFmtId="0" fontId="2" fillId="0" borderId="0" xfId="0" applyFont="1" applyAlignment="1">
      <alignment horizontal="center" wrapText="1"/>
    </xf>
    <xf numFmtId="0" fontId="2" fillId="0" borderId="0" xfId="0" applyFont="1" applyAlignment="1" applyProtection="1">
      <alignment horizontal="center" wrapText="1"/>
      <protection locked="0"/>
    </xf>
    <xf numFmtId="0" fontId="11" fillId="0" borderId="0" xfId="4"/>
    <xf numFmtId="0" fontId="0" fillId="0" borderId="0" xfId="0" applyAlignment="1">
      <alignment horizontal="center"/>
    </xf>
    <xf numFmtId="0" fontId="12" fillId="0" borderId="0" xfId="0" applyFont="1" applyAlignment="1">
      <alignment horizontal="centerContinuous"/>
    </xf>
    <xf numFmtId="0" fontId="13" fillId="0" borderId="0" xfId="0" applyFont="1" applyAlignment="1">
      <alignment horizontal="center"/>
    </xf>
    <xf numFmtId="0" fontId="14" fillId="5" borderId="8" xfId="5" applyFill="1" applyBorder="1" applyAlignment="1" applyProtection="1"/>
    <xf numFmtId="2" fontId="0" fillId="5" borderId="8" xfId="0" applyNumberFormat="1" applyFill="1" applyBorder="1" applyAlignment="1">
      <alignment horizontal="center"/>
    </xf>
    <xf numFmtId="0" fontId="0" fillId="5" borderId="8" xfId="0" applyFill="1" applyBorder="1" applyAlignment="1">
      <alignment horizontal="center"/>
    </xf>
    <xf numFmtId="0" fontId="14" fillId="0" borderId="8" xfId="5" applyBorder="1" applyAlignment="1" applyProtection="1"/>
    <xf numFmtId="2" fontId="0" fillId="0" borderId="8" xfId="0" applyNumberFormat="1" applyBorder="1" applyAlignment="1">
      <alignment horizontal="center"/>
    </xf>
    <xf numFmtId="0" fontId="0" fillId="0" borderId="8" xfId="0" applyBorder="1" applyAlignment="1">
      <alignment horizontal="center"/>
    </xf>
    <xf numFmtId="2" fontId="0" fillId="5" borderId="8" xfId="2" applyNumberFormat="1" applyFont="1" applyFill="1" applyBorder="1" applyAlignment="1">
      <alignment horizontal="center"/>
    </xf>
    <xf numFmtId="0" fontId="0" fillId="0" borderId="9" xfId="0" applyBorder="1" applyAlignment="1">
      <alignment vertical="center"/>
    </xf>
    <xf numFmtId="0" fontId="0" fillId="0" borderId="9" xfId="0" applyBorder="1" applyAlignment="1" applyProtection="1">
      <alignment vertical="center"/>
      <protection locked="0"/>
    </xf>
    <xf numFmtId="0" fontId="16" fillId="6" borderId="0" xfId="0" applyFont="1" applyFill="1" applyAlignment="1" applyProtection="1">
      <alignment vertical="center"/>
      <protection locked="0"/>
    </xf>
    <xf numFmtId="0" fontId="1" fillId="7" borderId="0" xfId="0" applyFont="1" applyFill="1"/>
    <xf numFmtId="0" fontId="1" fillId="7" borderId="0" xfId="0" applyFont="1" applyFill="1" applyAlignment="1">
      <alignment horizontal="left"/>
    </xf>
    <xf numFmtId="0" fontId="0" fillId="0" borderId="0" xfId="0" applyAlignment="1">
      <alignment vertical="center"/>
    </xf>
    <xf numFmtId="0" fontId="9" fillId="0" borderId="9" xfId="0" applyFont="1" applyBorder="1" applyAlignment="1" applyProtection="1">
      <alignment vertical="center" wrapText="1"/>
      <protection locked="0"/>
    </xf>
    <xf numFmtId="0" fontId="0" fillId="0" borderId="9" xfId="0" applyBorder="1" applyAlignment="1">
      <alignment vertical="center" wrapText="1"/>
    </xf>
    <xf numFmtId="0" fontId="0" fillId="0" borderId="0" xfId="0" applyAlignment="1" applyProtection="1">
      <alignment vertical="center"/>
      <protection locked="0"/>
    </xf>
    <xf numFmtId="0" fontId="19" fillId="6" borderId="11" xfId="0" applyFont="1" applyFill="1" applyBorder="1" applyAlignment="1" applyProtection="1">
      <alignment horizontal="left" vertical="center" wrapText="1"/>
      <protection locked="0"/>
    </xf>
    <xf numFmtId="0" fontId="20" fillId="13" borderId="5" xfId="0" applyFont="1" applyFill="1" applyBorder="1" applyAlignment="1">
      <alignment vertical="top" wrapText="1"/>
    </xf>
    <xf numFmtId="0" fontId="8" fillId="13" borderId="0" xfId="0" applyFont="1" applyFill="1" applyAlignment="1">
      <alignment vertical="top" wrapText="1"/>
    </xf>
    <xf numFmtId="0" fontId="8" fillId="13" borderId="6" xfId="0" applyFont="1" applyFill="1" applyBorder="1" applyAlignment="1">
      <alignment vertical="top" wrapText="1"/>
    </xf>
    <xf numFmtId="0" fontId="8" fillId="13" borderId="6" xfId="0" applyFont="1" applyFill="1" applyBorder="1" applyAlignment="1">
      <alignment horizontal="center" vertical="top" wrapText="1"/>
    </xf>
    <xf numFmtId="10" fontId="20" fillId="12" borderId="7" xfId="0" applyNumberFormat="1" applyFont="1" applyFill="1" applyBorder="1" applyAlignment="1">
      <alignment horizontal="center" vertical="top" wrapText="1"/>
    </xf>
    <xf numFmtId="0" fontId="17" fillId="0" borderId="12" xfId="0" applyFont="1" applyBorder="1" applyAlignment="1" applyProtection="1">
      <alignment horizontal="center" vertical="center" readingOrder="1"/>
      <protection locked="0"/>
    </xf>
    <xf numFmtId="0" fontId="3" fillId="0" borderId="14" xfId="0" applyFont="1" applyBorder="1" applyAlignment="1">
      <alignment horizontal="center" vertical="center" wrapText="1"/>
    </xf>
    <xf numFmtId="0" fontId="3" fillId="0" borderId="10"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0" xfId="0" applyFont="1" applyBorder="1" applyAlignment="1">
      <alignment horizontal="center" vertical="center" wrapText="1"/>
    </xf>
    <xf numFmtId="0" fontId="3" fillId="0" borderId="10" xfId="0" applyFont="1" applyBorder="1" applyAlignment="1" applyProtection="1">
      <alignment horizontal="center" vertical="center" wrapText="1"/>
      <protection locked="0"/>
    </xf>
    <xf numFmtId="0" fontId="3" fillId="0" borderId="15" xfId="0" applyFont="1" applyBorder="1" applyAlignment="1" applyProtection="1">
      <alignment horizontal="center" vertical="center" wrapText="1"/>
      <protection locked="0"/>
    </xf>
    <xf numFmtId="0" fontId="3" fillId="3" borderId="16" xfId="0" applyFont="1" applyFill="1" applyBorder="1" applyAlignment="1" applyProtection="1">
      <alignment horizontal="left" vertical="center" wrapText="1"/>
      <protection locked="0"/>
    </xf>
    <xf numFmtId="0" fontId="10" fillId="0" borderId="0" xfId="0" applyFont="1" applyAlignment="1">
      <alignment vertical="top" wrapText="1"/>
    </xf>
    <xf numFmtId="0" fontId="22" fillId="14" borderId="8" xfId="0" applyFont="1" applyFill="1" applyBorder="1"/>
    <xf numFmtId="0" fontId="22" fillId="14" borderId="8" xfId="0" applyFont="1" applyFill="1" applyBorder="1" applyAlignment="1">
      <alignment horizontal="center"/>
    </xf>
    <xf numFmtId="0" fontId="23" fillId="8" borderId="0" xfId="0" applyFont="1" applyFill="1" applyAlignment="1">
      <alignment vertical="center"/>
    </xf>
    <xf numFmtId="0" fontId="23" fillId="9" borderId="0" xfId="0" applyFont="1" applyFill="1" applyAlignment="1">
      <alignment vertical="center"/>
    </xf>
    <xf numFmtId="0" fontId="23" fillId="10" borderId="0" xfId="0" applyFont="1" applyFill="1" applyAlignment="1">
      <alignment vertical="center"/>
    </xf>
    <xf numFmtId="0" fontId="23" fillId="11" borderId="0" xfId="0" applyFont="1" applyFill="1" applyAlignment="1">
      <alignment vertical="center"/>
    </xf>
    <xf numFmtId="0" fontId="9" fillId="0" borderId="9" xfId="0" applyFont="1" applyBorder="1" applyAlignment="1" applyProtection="1">
      <alignment horizontal="center" vertical="center"/>
      <protection locked="0"/>
    </xf>
    <xf numFmtId="0" fontId="16" fillId="6" borderId="0" xfId="0" applyFont="1" applyFill="1" applyAlignment="1" applyProtection="1">
      <alignment horizontal="center" vertical="center"/>
      <protection locked="0"/>
    </xf>
    <xf numFmtId="0" fontId="1" fillId="7" borderId="0" xfId="0" applyFont="1" applyFill="1" applyAlignment="1">
      <alignment horizontal="center"/>
    </xf>
    <xf numFmtId="0" fontId="23" fillId="8" borderId="0" xfId="0" applyFont="1" applyFill="1" applyAlignment="1">
      <alignment horizontal="center" vertical="center"/>
    </xf>
    <xf numFmtId="0" fontId="23" fillId="9" borderId="0" xfId="0" applyFont="1" applyFill="1" applyAlignment="1">
      <alignment horizontal="center" vertical="center"/>
    </xf>
    <xf numFmtId="0" fontId="23" fillId="10" borderId="0" xfId="0" applyFont="1" applyFill="1" applyAlignment="1">
      <alignment horizontal="center" vertical="center"/>
    </xf>
    <xf numFmtId="0" fontId="23" fillId="11" borderId="0" xfId="0" applyFont="1" applyFill="1" applyAlignment="1">
      <alignment horizontal="center" vertical="center"/>
    </xf>
    <xf numFmtId="0" fontId="9" fillId="0" borderId="9" xfId="0" applyFont="1" applyBorder="1" applyAlignment="1" applyProtection="1">
      <alignment horizontal="center" vertical="center" wrapText="1"/>
      <protection locked="0"/>
    </xf>
    <xf numFmtId="0" fontId="23" fillId="8" borderId="0" xfId="0" applyFont="1" applyFill="1" applyAlignment="1">
      <alignment horizontal="left" vertical="center" wrapText="1"/>
    </xf>
    <xf numFmtId="0" fontId="23" fillId="9" borderId="0" xfId="0" applyFont="1" applyFill="1" applyAlignment="1">
      <alignment horizontal="left" vertical="center" wrapText="1"/>
    </xf>
    <xf numFmtId="0" fontId="23" fillId="10" borderId="0" xfId="0" applyFont="1" applyFill="1" applyAlignment="1">
      <alignment horizontal="left" vertical="center" wrapText="1"/>
    </xf>
    <xf numFmtId="0" fontId="23" fillId="11" borderId="0" xfId="0" applyFont="1" applyFill="1" applyAlignment="1">
      <alignment horizontal="left" vertical="center" wrapText="1"/>
    </xf>
    <xf numFmtId="0" fontId="20" fillId="12" borderId="4" xfId="0" applyFont="1" applyFill="1" applyBorder="1" applyAlignment="1">
      <alignment vertical="center" wrapText="1"/>
    </xf>
    <xf numFmtId="0" fontId="20" fillId="12" borderId="4" xfId="0" applyFont="1" applyFill="1" applyBorder="1" applyAlignment="1">
      <alignment horizontal="center" vertical="center" wrapText="1"/>
    </xf>
    <xf numFmtId="0" fontId="2" fillId="0" borderId="0" xfId="0" applyFont="1" applyAlignment="1">
      <alignment vertical="center" wrapText="1"/>
    </xf>
    <xf numFmtId="0" fontId="20" fillId="12" borderId="23" xfId="0" applyFont="1" applyFill="1" applyBorder="1" applyAlignment="1">
      <alignment horizontal="center" vertical="center" wrapText="1"/>
    </xf>
    <xf numFmtId="0" fontId="20" fillId="12" borderId="24" xfId="0" applyFont="1" applyFill="1" applyBorder="1" applyAlignment="1">
      <alignment horizontal="center" vertical="top" wrapText="1"/>
    </xf>
    <xf numFmtId="0" fontId="3" fillId="3" borderId="26" xfId="0" applyFont="1" applyFill="1" applyBorder="1" applyAlignment="1" applyProtection="1">
      <alignment horizontal="center" vertical="center" wrapText="1"/>
      <protection locked="0"/>
    </xf>
    <xf numFmtId="0" fontId="3" fillId="0" borderId="17" xfId="0" applyFont="1" applyBorder="1" applyAlignment="1">
      <alignment horizontal="center" vertical="center" wrapText="1"/>
    </xf>
    <xf numFmtId="10" fontId="20" fillId="0" borderId="27" xfId="0" applyNumberFormat="1" applyFont="1" applyBorder="1" applyAlignment="1">
      <alignment horizontal="center" vertical="center" wrapText="1"/>
    </xf>
    <xf numFmtId="0" fontId="23" fillId="19" borderId="0" xfId="0" applyFont="1" applyFill="1" applyAlignment="1">
      <alignment vertical="center"/>
    </xf>
    <xf numFmtId="0" fontId="23" fillId="19" borderId="0" xfId="0" applyFont="1" applyFill="1" applyAlignment="1">
      <alignment horizontal="center" vertical="center"/>
    </xf>
    <xf numFmtId="0" fontId="23" fillId="19" borderId="0" xfId="0" applyFont="1" applyFill="1" applyAlignment="1">
      <alignment horizontal="left" vertical="center" wrapText="1"/>
    </xf>
    <xf numFmtId="0" fontId="8" fillId="0" borderId="14" xfId="0" applyFont="1" applyBorder="1" applyAlignment="1">
      <alignment vertical="top" wrapText="1"/>
    </xf>
    <xf numFmtId="0" fontId="8" fillId="0" borderId="14" xfId="0" applyFont="1" applyBorder="1" applyAlignment="1">
      <alignment horizontal="left" vertical="center" wrapText="1"/>
    </xf>
    <xf numFmtId="0" fontId="14" fillId="0" borderId="13" xfId="5" applyBorder="1" applyAlignment="1" applyProtection="1">
      <alignment horizontal="left" vertical="center" wrapText="1"/>
    </xf>
    <xf numFmtId="0" fontId="14" fillId="0" borderId="28" xfId="5" applyBorder="1" applyAlignment="1" applyProtection="1">
      <alignment horizontal="left" vertical="center" wrapText="1"/>
    </xf>
    <xf numFmtId="0" fontId="8" fillId="0" borderId="29" xfId="0" applyFont="1" applyBorder="1" applyAlignment="1">
      <alignment horizontal="left" vertical="center" wrapText="1"/>
    </xf>
    <xf numFmtId="0" fontId="3" fillId="0" borderId="29" xfId="0" applyFont="1" applyBorder="1" applyAlignment="1">
      <alignment horizontal="center" vertical="center" wrapText="1"/>
    </xf>
    <xf numFmtId="10" fontId="20" fillId="0" borderId="30" xfId="0" applyNumberFormat="1" applyFont="1" applyBorder="1" applyAlignment="1">
      <alignment horizontal="center" vertical="center" wrapText="1"/>
    </xf>
    <xf numFmtId="0" fontId="8" fillId="0" borderId="32" xfId="0" applyFont="1" applyBorder="1" applyAlignment="1">
      <alignment horizontal="left" vertical="center" wrapText="1"/>
    </xf>
    <xf numFmtId="0" fontId="8" fillId="0" borderId="32" xfId="0" applyFont="1" applyBorder="1" applyAlignment="1">
      <alignment vertical="top" wrapText="1"/>
    </xf>
    <xf numFmtId="0" fontId="3" fillId="0" borderId="32" xfId="0" applyFont="1" applyBorder="1" applyAlignment="1">
      <alignment horizontal="center" vertical="center" wrapText="1"/>
    </xf>
    <xf numFmtId="10" fontId="20" fillId="0" borderId="33" xfId="0" applyNumberFormat="1" applyFont="1" applyBorder="1" applyAlignment="1">
      <alignment horizontal="center" vertical="center" wrapText="1"/>
    </xf>
    <xf numFmtId="0" fontId="3" fillId="3" borderId="34" xfId="0" applyFont="1" applyFill="1" applyBorder="1" applyAlignment="1">
      <alignment horizontal="center" vertical="top" wrapText="1"/>
    </xf>
    <xf numFmtId="10" fontId="3" fillId="3" borderId="35" xfId="0" applyNumberFormat="1" applyFont="1" applyFill="1" applyBorder="1" applyAlignment="1">
      <alignment horizontal="center" vertical="top" wrapText="1"/>
    </xf>
    <xf numFmtId="0" fontId="8" fillId="0" borderId="29" xfId="0" applyFont="1" applyBorder="1" applyAlignment="1">
      <alignment vertical="top" wrapText="1"/>
    </xf>
    <xf numFmtId="0" fontId="3" fillId="3" borderId="37" xfId="0" applyFont="1" applyFill="1" applyBorder="1" applyAlignment="1">
      <alignment vertical="top" wrapText="1"/>
    </xf>
    <xf numFmtId="0" fontId="14" fillId="0" borderId="31" xfId="5" applyBorder="1" applyAlignment="1" applyProtection="1">
      <alignment horizontal="left" vertical="center" wrapText="1"/>
    </xf>
    <xf numFmtId="0" fontId="3" fillId="3" borderId="39" xfId="0" applyFont="1" applyFill="1" applyBorder="1" applyAlignment="1" applyProtection="1">
      <alignment horizontal="left" vertical="center" wrapText="1"/>
      <protection locked="0"/>
    </xf>
    <xf numFmtId="0" fontId="3" fillId="3" borderId="41" xfId="0" applyFont="1" applyFill="1" applyBorder="1" applyAlignment="1" applyProtection="1">
      <alignment horizontal="center" vertical="center" wrapText="1"/>
      <protection locked="0"/>
    </xf>
    <xf numFmtId="0" fontId="3" fillId="3" borderId="37" xfId="0" applyFont="1" applyFill="1" applyBorder="1" applyAlignment="1" applyProtection="1">
      <alignment horizontal="left" vertical="center" wrapText="1"/>
      <protection locked="0"/>
    </xf>
    <xf numFmtId="10" fontId="20" fillId="12" borderId="43" xfId="0" applyNumberFormat="1" applyFont="1" applyFill="1" applyBorder="1" applyAlignment="1">
      <alignment horizontal="center" vertical="top" wrapText="1"/>
    </xf>
    <xf numFmtId="10" fontId="20" fillId="3" borderId="42" xfId="0" applyNumberFormat="1" applyFont="1" applyFill="1" applyBorder="1" applyAlignment="1">
      <alignment horizontal="center" vertical="center" wrapText="1"/>
    </xf>
    <xf numFmtId="10" fontId="3" fillId="3" borderId="35" xfId="0" applyNumberFormat="1" applyFont="1" applyFill="1" applyBorder="1" applyAlignment="1">
      <alignment horizontal="center" vertical="center" wrapText="1"/>
    </xf>
    <xf numFmtId="0" fontId="8" fillId="0" borderId="17" xfId="0" applyFont="1" applyBorder="1" applyAlignment="1">
      <alignment horizontal="left" vertical="center" wrapText="1"/>
    </xf>
    <xf numFmtId="0" fontId="8" fillId="0" borderId="10" xfId="0" applyFont="1" applyBorder="1" applyAlignment="1">
      <alignment horizontal="left" vertical="center" wrapText="1"/>
    </xf>
    <xf numFmtId="10" fontId="20" fillId="0" borderId="45" xfId="0" applyNumberFormat="1" applyFont="1" applyBorder="1" applyAlignment="1">
      <alignment horizontal="center" vertical="center" wrapText="1"/>
    </xf>
    <xf numFmtId="0" fontId="8" fillId="0" borderId="15" xfId="0" applyFont="1" applyBorder="1" applyAlignment="1">
      <alignment horizontal="left" vertical="center" wrapText="1"/>
    </xf>
    <xf numFmtId="0" fontId="20" fillId="12" borderId="24" xfId="0" applyFont="1" applyFill="1" applyBorder="1" applyAlignment="1">
      <alignment horizontal="center" vertical="center" wrapText="1"/>
    </xf>
    <xf numFmtId="0" fontId="17" fillId="0" borderId="32" xfId="0" applyFont="1" applyBorder="1" applyAlignment="1" applyProtection="1">
      <alignment horizontal="center" vertical="center"/>
      <protection locked="0"/>
    </xf>
    <xf numFmtId="0" fontId="17" fillId="0" borderId="12" xfId="0" applyFont="1" applyBorder="1" applyAlignment="1" applyProtection="1">
      <alignment horizontal="center" vertical="center"/>
      <protection locked="0"/>
    </xf>
    <xf numFmtId="0" fontId="3" fillId="3" borderId="34" xfId="0" applyFont="1" applyFill="1" applyBorder="1" applyAlignment="1">
      <alignment horizontal="center" vertical="center" wrapText="1"/>
    </xf>
    <xf numFmtId="0" fontId="9" fillId="0" borderId="46" xfId="0" applyFont="1" applyBorder="1" applyAlignment="1" applyProtection="1">
      <alignment wrapText="1"/>
      <protection locked="0"/>
    </xf>
    <xf numFmtId="0" fontId="21" fillId="0" borderId="10" xfId="0" applyFont="1" applyBorder="1" applyAlignment="1" applyProtection="1">
      <alignment horizontal="left" vertical="center" wrapText="1"/>
      <protection locked="0"/>
    </xf>
    <xf numFmtId="0" fontId="21" fillId="0" borderId="15" xfId="0" applyFont="1" applyBorder="1" applyAlignment="1" applyProtection="1">
      <alignment horizontal="left" vertical="center" wrapText="1"/>
      <protection locked="0"/>
    </xf>
    <xf numFmtId="0" fontId="0" fillId="12" borderId="49" xfId="0" applyFill="1" applyBorder="1" applyAlignment="1">
      <alignment horizontal="center" vertical="center"/>
    </xf>
    <xf numFmtId="0" fontId="0" fillId="12" borderId="50" xfId="0" applyFill="1" applyBorder="1" applyAlignment="1">
      <alignment horizontal="center" vertical="center"/>
    </xf>
    <xf numFmtId="0" fontId="15" fillId="8" borderId="49" xfId="0" applyFont="1" applyFill="1" applyBorder="1" applyAlignment="1">
      <alignment horizontal="center" vertical="center"/>
    </xf>
    <xf numFmtId="0" fontId="15" fillId="8" borderId="50" xfId="0" applyFont="1" applyFill="1" applyBorder="1" applyAlignment="1">
      <alignment horizontal="center" vertical="center"/>
    </xf>
    <xf numFmtId="0" fontId="15" fillId="9" borderId="49" xfId="0" applyFont="1" applyFill="1" applyBorder="1" applyAlignment="1">
      <alignment horizontal="center" vertical="center"/>
    </xf>
    <xf numFmtId="0" fontId="15" fillId="9" borderId="50" xfId="0" applyFont="1" applyFill="1" applyBorder="1" applyAlignment="1">
      <alignment horizontal="center" vertical="center"/>
    </xf>
    <xf numFmtId="0" fontId="15" fillId="10" borderId="49" xfId="0" applyFont="1" applyFill="1" applyBorder="1" applyAlignment="1">
      <alignment horizontal="center" vertical="center"/>
    </xf>
    <xf numFmtId="0" fontId="15" fillId="10" borderId="50" xfId="0" applyFont="1" applyFill="1" applyBorder="1" applyAlignment="1">
      <alignment horizontal="center" vertical="center"/>
    </xf>
    <xf numFmtId="0" fontId="15" fillId="11" borderId="49" xfId="0" applyFont="1" applyFill="1" applyBorder="1" applyAlignment="1">
      <alignment horizontal="center" vertical="center"/>
    </xf>
    <xf numFmtId="0" fontId="15" fillId="11" borderId="50" xfId="0" applyFont="1" applyFill="1" applyBorder="1" applyAlignment="1">
      <alignment horizontal="center" vertical="center"/>
    </xf>
    <xf numFmtId="0" fontId="15" fillId="19" borderId="51" xfId="0" applyFont="1" applyFill="1" applyBorder="1" applyAlignment="1">
      <alignment horizontal="center" vertical="center"/>
    </xf>
    <xf numFmtId="0" fontId="15" fillId="19" borderId="52" xfId="0" applyFont="1" applyFill="1" applyBorder="1" applyAlignment="1">
      <alignment horizontal="center" vertical="center"/>
    </xf>
    <xf numFmtId="10" fontId="0" fillId="0" borderId="8" xfId="0" applyNumberFormat="1" applyBorder="1" applyAlignment="1">
      <alignment horizontal="center"/>
    </xf>
    <xf numFmtId="10" fontId="0" fillId="5" borderId="8" xfId="0" applyNumberFormat="1" applyFill="1" applyBorder="1" applyAlignment="1">
      <alignment horizontal="center"/>
    </xf>
    <xf numFmtId="10" fontId="0" fillId="5" borderId="8" xfId="2" applyNumberFormat="1" applyFont="1" applyFill="1" applyBorder="1" applyAlignment="1">
      <alignment horizontal="center"/>
    </xf>
    <xf numFmtId="0" fontId="26" fillId="0" borderId="9" xfId="0" applyFont="1" applyBorder="1" applyAlignment="1">
      <alignment vertical="center"/>
    </xf>
    <xf numFmtId="0" fontId="26" fillId="0" borderId="9" xfId="0" applyFont="1" applyBorder="1" applyAlignment="1" applyProtection="1">
      <alignment vertical="center"/>
      <protection locked="0"/>
    </xf>
    <xf numFmtId="0" fontId="27" fillId="6" borderId="18" xfId="6" applyFont="1" applyFill="1" applyBorder="1" applyAlignment="1">
      <alignment horizontal="center" vertical="center" wrapText="1"/>
    </xf>
    <xf numFmtId="0" fontId="27" fillId="6" borderId="19" xfId="6" applyFont="1" applyFill="1" applyBorder="1" applyAlignment="1">
      <alignment horizontal="center" vertical="center" wrapText="1"/>
    </xf>
    <xf numFmtId="0" fontId="26" fillId="0" borderId="0" xfId="6" applyFont="1"/>
    <xf numFmtId="0" fontId="29" fillId="15" borderId="21" xfId="6" applyFont="1" applyFill="1" applyBorder="1" applyAlignment="1">
      <alignment horizontal="left" vertical="center" wrapText="1" indent="1"/>
    </xf>
    <xf numFmtId="0" fontId="29" fillId="15" borderId="19" xfId="6" applyFont="1" applyFill="1" applyBorder="1" applyAlignment="1">
      <alignment horizontal="left" vertical="center" wrapText="1" indent="1"/>
    </xf>
    <xf numFmtId="0" fontId="29" fillId="0" borderId="21" xfId="6" applyFont="1" applyBorder="1" applyAlignment="1">
      <alignment horizontal="left" vertical="center" wrapText="1" indent="1"/>
    </xf>
    <xf numFmtId="0" fontId="29" fillId="0" borderId="19" xfId="6" applyFont="1" applyBorder="1" applyAlignment="1">
      <alignment horizontal="left" vertical="center" wrapText="1" indent="1"/>
    </xf>
    <xf numFmtId="0" fontId="31" fillId="0" borderId="21" xfId="6" applyFont="1" applyBorder="1" applyAlignment="1">
      <alignment horizontal="left" vertical="center" wrapText="1" indent="1"/>
    </xf>
    <xf numFmtId="0" fontId="31" fillId="0" borderId="19" xfId="6" applyFont="1" applyBorder="1" applyAlignment="1">
      <alignment horizontal="left" vertical="center" wrapText="1" indent="1"/>
    </xf>
    <xf numFmtId="0" fontId="30" fillId="0" borderId="19" xfId="6" applyFont="1" applyBorder="1" applyAlignment="1">
      <alignment vertical="center" wrapText="1"/>
    </xf>
    <xf numFmtId="0" fontId="29" fillId="0" borderId="18" xfId="6" applyFont="1" applyBorder="1" applyAlignment="1">
      <alignment horizontal="left" vertical="center" wrapText="1" indent="1"/>
    </xf>
    <xf numFmtId="0" fontId="31" fillId="0" borderId="18" xfId="6" applyFont="1" applyBorder="1" applyAlignment="1">
      <alignment horizontal="left" vertical="center" wrapText="1" indent="1"/>
    </xf>
    <xf numFmtId="0" fontId="14" fillId="0" borderId="53" xfId="5" applyBorder="1" applyAlignment="1" applyProtection="1">
      <alignment horizontal="left" vertical="center" wrapText="1"/>
    </xf>
    <xf numFmtId="0" fontId="14" fillId="0" borderId="54" xfId="5" applyBorder="1" applyAlignment="1" applyProtection="1">
      <alignment horizontal="left" vertical="center" wrapText="1"/>
    </xf>
    <xf numFmtId="0" fontId="8" fillId="0" borderId="0" xfId="0" applyFont="1" applyAlignment="1">
      <alignment horizontal="left" vertical="center" wrapText="1"/>
    </xf>
    <xf numFmtId="0" fontId="14" fillId="0" borderId="0" xfId="5" applyBorder="1" applyAlignment="1" applyProtection="1">
      <alignment horizontal="left" vertical="center" wrapText="1"/>
    </xf>
    <xf numFmtId="0" fontId="14" fillId="0" borderId="55" xfId="5" applyBorder="1" applyAlignment="1" applyProtection="1">
      <alignment horizontal="left" vertical="center" wrapText="1"/>
    </xf>
    <xf numFmtId="0" fontId="14" fillId="0" borderId="55" xfId="5" applyBorder="1" applyAlignment="1" applyProtection="1">
      <alignment horizontal="left" vertical="center" wrapText="1"/>
      <protection locked="0"/>
    </xf>
    <xf numFmtId="0" fontId="14" fillId="0" borderId="54" xfId="5" applyBorder="1" applyAlignment="1" applyProtection="1">
      <alignment horizontal="left" vertical="center" wrapText="1"/>
      <protection locked="0"/>
    </xf>
    <xf numFmtId="0" fontId="14" fillId="0" borderId="0" xfId="5" applyBorder="1" applyAlignment="1" applyProtection="1">
      <alignment horizontal="left" vertical="center" wrapText="1"/>
      <protection locked="0"/>
    </xf>
    <xf numFmtId="0" fontId="21" fillId="0" borderId="0" xfId="0" applyFont="1" applyAlignment="1" applyProtection="1">
      <alignment horizontal="left" vertical="center" wrapText="1"/>
      <protection locked="0"/>
    </xf>
    <xf numFmtId="0" fontId="0" fillId="0" borderId="9" xfId="0" applyBorder="1" applyAlignment="1" applyProtection="1">
      <alignment horizontal="center" vertical="center"/>
      <protection locked="0"/>
    </xf>
    <xf numFmtId="0" fontId="19" fillId="6" borderId="11" xfId="0" applyFont="1" applyFill="1" applyBorder="1" applyAlignment="1" applyProtection="1">
      <alignment horizontal="center" vertical="center" wrapText="1"/>
      <protection locked="0"/>
    </xf>
    <xf numFmtId="0" fontId="8" fillId="0" borderId="32"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0" xfId="0" applyFont="1" applyBorder="1" applyAlignment="1">
      <alignment horizontal="center" vertical="center" wrapText="1"/>
    </xf>
    <xf numFmtId="0" fontId="3" fillId="3" borderId="37" xfId="0" applyFont="1" applyFill="1" applyBorder="1" applyAlignment="1" applyProtection="1">
      <alignment horizontal="center" vertical="center" wrapText="1"/>
      <protection locked="0"/>
    </xf>
    <xf numFmtId="0" fontId="8" fillId="13" borderId="6" xfId="0" applyFont="1" applyFill="1" applyBorder="1" applyAlignment="1">
      <alignment horizontal="center" vertical="center" wrapText="1"/>
    </xf>
    <xf numFmtId="0" fontId="4" fillId="0" borderId="0" xfId="0" applyFont="1" applyAlignment="1">
      <alignment horizontal="center" vertical="center" wrapText="1"/>
    </xf>
    <xf numFmtId="0" fontId="0" fillId="0" borderId="57" xfId="0" applyBorder="1" applyAlignment="1">
      <alignment vertical="center" wrapText="1"/>
    </xf>
    <xf numFmtId="0" fontId="0" fillId="0" borderId="57" xfId="0" applyBorder="1" applyAlignment="1" applyProtection="1">
      <alignment vertical="center"/>
      <protection locked="0"/>
    </xf>
    <xf numFmtId="0" fontId="9" fillId="0" borderId="57" xfId="0" applyFont="1" applyBorder="1" applyAlignment="1" applyProtection="1">
      <alignment vertical="center" wrapText="1"/>
      <protection locked="0"/>
    </xf>
    <xf numFmtId="0" fontId="19" fillId="6" borderId="56" xfId="0" applyFont="1" applyFill="1" applyBorder="1" applyAlignment="1" applyProtection="1">
      <alignment horizontal="left" vertical="center" wrapText="1"/>
      <protection locked="0"/>
    </xf>
    <xf numFmtId="0" fontId="19" fillId="6" borderId="56" xfId="0" applyFont="1" applyFill="1" applyBorder="1" applyAlignment="1" applyProtection="1">
      <alignment vertical="center" wrapText="1"/>
      <protection locked="0"/>
    </xf>
    <xf numFmtId="0" fontId="35" fillId="20" borderId="56" xfId="0" applyFont="1" applyFill="1" applyBorder="1" applyAlignment="1">
      <alignment vertical="center" wrapText="1"/>
    </xf>
    <xf numFmtId="0" fontId="0" fillId="0" borderId="56" xfId="0" applyBorder="1" applyAlignment="1">
      <alignment vertical="center" wrapText="1"/>
    </xf>
    <xf numFmtId="0" fontId="34" fillId="0" borderId="56" xfId="0" applyFont="1" applyBorder="1" applyAlignment="1">
      <alignment vertical="center" wrapText="1"/>
    </xf>
    <xf numFmtId="0" fontId="35" fillId="0" borderId="56" xfId="0" applyFont="1" applyBorder="1" applyAlignment="1">
      <alignment vertical="center" wrapText="1"/>
    </xf>
    <xf numFmtId="0" fontId="22" fillId="14" borderId="56" xfId="0" applyFont="1" applyFill="1" applyBorder="1" applyAlignment="1">
      <alignment horizontal="center"/>
    </xf>
    <xf numFmtId="0" fontId="22" fillId="14" borderId="56" xfId="0" applyFont="1" applyFill="1" applyBorder="1"/>
    <xf numFmtId="0" fontId="3" fillId="3" borderId="56" xfId="0" applyFont="1" applyFill="1" applyBorder="1" applyAlignment="1" applyProtection="1">
      <alignment horizontal="left" vertical="center" wrapText="1"/>
      <protection locked="0"/>
    </xf>
    <xf numFmtId="2" fontId="0" fillId="5" borderId="56" xfId="0" applyNumberFormat="1" applyFill="1" applyBorder="1" applyAlignment="1">
      <alignment horizontal="center"/>
    </xf>
    <xf numFmtId="10" fontId="0" fillId="5" borderId="56" xfId="0" applyNumberFormat="1" applyFill="1" applyBorder="1" applyAlignment="1">
      <alignment horizontal="center"/>
    </xf>
    <xf numFmtId="0" fontId="3" fillId="3" borderId="56" xfId="0" applyFont="1" applyFill="1" applyBorder="1" applyAlignment="1">
      <alignment vertical="top" wrapText="1"/>
    </xf>
    <xf numFmtId="2" fontId="0" fillId="0" borderId="56" xfId="0" applyNumberFormat="1" applyBorder="1" applyAlignment="1">
      <alignment horizontal="center"/>
    </xf>
    <xf numFmtId="10" fontId="0" fillId="0" borderId="56" xfId="0" applyNumberFormat="1" applyBorder="1" applyAlignment="1">
      <alignment horizontal="center"/>
    </xf>
    <xf numFmtId="2" fontId="0" fillId="5" borderId="56" xfId="2" applyNumberFormat="1" applyFont="1" applyFill="1" applyBorder="1" applyAlignment="1">
      <alignment horizontal="center"/>
    </xf>
    <xf numFmtId="10" fontId="0" fillId="5" borderId="56" xfId="2" applyNumberFormat="1" applyFont="1" applyFill="1" applyBorder="1" applyAlignment="1">
      <alignment horizontal="center"/>
    </xf>
    <xf numFmtId="2" fontId="0" fillId="12" borderId="56" xfId="0" applyNumberFormat="1" applyFill="1" applyBorder="1" applyAlignment="1">
      <alignment horizontal="center"/>
    </xf>
    <xf numFmtId="0" fontId="36" fillId="24" borderId="58" xfId="0" applyFont="1" applyFill="1" applyBorder="1" applyAlignment="1">
      <alignment horizontal="center" wrapText="1" readingOrder="1"/>
    </xf>
    <xf numFmtId="0" fontId="36" fillId="0" borderId="58" xfId="0" applyFont="1" applyBorder="1" applyAlignment="1">
      <alignment horizontal="center" wrapText="1" readingOrder="1"/>
    </xf>
    <xf numFmtId="0" fontId="22" fillId="14" borderId="59" xfId="0" applyFont="1" applyFill="1" applyBorder="1" applyAlignment="1">
      <alignment horizontal="center"/>
    </xf>
    <xf numFmtId="0" fontId="37" fillId="12" borderId="58" xfId="0" applyFont="1" applyFill="1" applyBorder="1" applyAlignment="1">
      <alignment horizontal="center" wrapText="1" readingOrder="1"/>
    </xf>
    <xf numFmtId="0" fontId="36" fillId="0" borderId="60" xfId="0" applyFont="1" applyBorder="1" applyAlignment="1">
      <alignment horizontal="center" wrapText="1" readingOrder="1"/>
    </xf>
    <xf numFmtId="0" fontId="36" fillId="24" borderId="60" xfId="0" applyFont="1" applyFill="1" applyBorder="1" applyAlignment="1">
      <alignment horizontal="center" wrapText="1" readingOrder="1"/>
    </xf>
    <xf numFmtId="2" fontId="0" fillId="12" borderId="59" xfId="0" applyNumberFormat="1" applyFill="1" applyBorder="1" applyAlignment="1">
      <alignment horizontal="center"/>
    </xf>
    <xf numFmtId="0" fontId="1" fillId="6" borderId="47" xfId="0" applyFont="1" applyFill="1" applyBorder="1" applyAlignment="1">
      <alignment horizontal="center" vertical="center"/>
    </xf>
    <xf numFmtId="0" fontId="1" fillId="6" borderId="48" xfId="0" applyFont="1" applyFill="1" applyBorder="1" applyAlignment="1">
      <alignment horizontal="center" vertical="center"/>
    </xf>
    <xf numFmtId="0" fontId="0" fillId="17" borderId="50" xfId="0" applyFill="1" applyBorder="1" applyAlignment="1">
      <alignment horizontal="center"/>
    </xf>
    <xf numFmtId="0" fontId="0" fillId="21" borderId="50" xfId="0" applyFill="1" applyBorder="1" applyAlignment="1">
      <alignment horizontal="center"/>
    </xf>
    <xf numFmtId="0" fontId="0" fillId="22" borderId="50" xfId="0" applyFill="1" applyBorder="1" applyAlignment="1">
      <alignment horizontal="center"/>
    </xf>
    <xf numFmtId="0" fontId="0" fillId="23" borderId="50" xfId="0" applyFill="1" applyBorder="1" applyAlignment="1">
      <alignment horizontal="center"/>
    </xf>
    <xf numFmtId="0" fontId="18" fillId="6" borderId="1" xfId="0" applyFont="1" applyFill="1" applyBorder="1" applyAlignment="1">
      <alignment horizontal="left" vertical="top" wrapText="1"/>
    </xf>
    <xf numFmtId="0" fontId="18" fillId="6" borderId="2" xfId="0" applyFont="1" applyFill="1" applyBorder="1" applyAlignment="1">
      <alignment horizontal="left" vertical="top" wrapText="1"/>
    </xf>
    <xf numFmtId="0" fontId="1" fillId="6" borderId="2" xfId="0" applyFont="1" applyFill="1" applyBorder="1" applyAlignment="1">
      <alignment horizontal="left" vertical="top" wrapText="1"/>
    </xf>
    <xf numFmtId="0" fontId="1" fillId="6" borderId="3" xfId="0" applyFont="1" applyFill="1" applyBorder="1" applyAlignment="1">
      <alignment horizontal="left" vertical="top" wrapText="1"/>
    </xf>
    <xf numFmtId="0" fontId="19" fillId="6" borderId="11" xfId="0" applyFont="1" applyFill="1" applyBorder="1" applyAlignment="1" applyProtection="1">
      <alignment horizontal="left" vertical="center" wrapText="1"/>
      <protection locked="0"/>
    </xf>
    <xf numFmtId="0" fontId="25" fillId="3" borderId="38" xfId="0" applyFont="1" applyFill="1" applyBorder="1" applyAlignment="1" applyProtection="1">
      <alignment horizontal="left" vertical="center" wrapText="1"/>
      <protection locked="0"/>
    </xf>
    <xf numFmtId="0" fontId="25" fillId="3" borderId="40" xfId="0" applyFont="1" applyFill="1" applyBorder="1" applyAlignment="1" applyProtection="1">
      <alignment horizontal="left" vertical="center" wrapText="1"/>
      <protection locked="0"/>
    </xf>
    <xf numFmtId="0" fontId="3" fillId="3" borderId="38" xfId="0" applyFont="1" applyFill="1" applyBorder="1" applyAlignment="1">
      <alignment horizontal="left" vertical="center" wrapText="1"/>
    </xf>
    <xf numFmtId="0" fontId="3" fillId="3" borderId="36" xfId="0" applyFont="1" applyFill="1" applyBorder="1" applyAlignment="1">
      <alignment horizontal="left" vertical="center" wrapText="1"/>
    </xf>
    <xf numFmtId="0" fontId="3" fillId="3" borderId="38" xfId="0" applyFont="1" applyFill="1" applyBorder="1" applyAlignment="1" applyProtection="1">
      <alignment horizontal="left" vertical="center" wrapText="1"/>
      <protection locked="0"/>
    </xf>
    <xf numFmtId="0" fontId="3" fillId="3" borderId="40" xfId="0" applyFont="1" applyFill="1" applyBorder="1" applyAlignment="1" applyProtection="1">
      <alignment horizontal="left" vertical="center" wrapText="1"/>
      <protection locked="0"/>
    </xf>
    <xf numFmtId="0" fontId="3" fillId="3" borderId="25" xfId="0" applyFont="1" applyFill="1" applyBorder="1" applyAlignment="1" applyProtection="1">
      <alignment horizontal="left" vertical="center" wrapText="1"/>
      <protection locked="0"/>
    </xf>
    <xf numFmtId="0" fontId="3" fillId="3" borderId="44" xfId="0" applyFont="1" applyFill="1" applyBorder="1" applyAlignment="1" applyProtection="1">
      <alignment horizontal="left" vertical="center" wrapText="1"/>
      <protection locked="0"/>
    </xf>
    <xf numFmtId="0" fontId="27" fillId="19" borderId="20" xfId="6" applyFont="1" applyFill="1" applyBorder="1" applyAlignment="1">
      <alignment horizontal="center" vertical="center"/>
    </xf>
    <xf numFmtId="0" fontId="27" fillId="19" borderId="22" xfId="6" applyFont="1" applyFill="1" applyBorder="1" applyAlignment="1">
      <alignment horizontal="center" vertical="center"/>
    </xf>
    <xf numFmtId="0" fontId="27" fillId="19" borderId="18" xfId="6" applyFont="1" applyFill="1" applyBorder="1" applyAlignment="1">
      <alignment horizontal="center" vertical="center"/>
    </xf>
    <xf numFmtId="0" fontId="28" fillId="0" borderId="20" xfId="6" applyFont="1" applyBorder="1" applyAlignment="1">
      <alignment horizontal="center" vertical="center" wrapText="1"/>
    </xf>
    <xf numFmtId="0" fontId="28" fillId="0" borderId="22" xfId="6" applyFont="1" applyBorder="1" applyAlignment="1">
      <alignment horizontal="center" vertical="center" wrapText="1"/>
    </xf>
    <xf numFmtId="0" fontId="28" fillId="0" borderId="18" xfId="6" applyFont="1" applyBorder="1" applyAlignment="1">
      <alignment horizontal="center" vertical="center" wrapText="1"/>
    </xf>
    <xf numFmtId="0" fontId="30" fillId="0" borderId="20" xfId="6" applyFont="1" applyBorder="1" applyAlignment="1">
      <alignment vertical="center" wrapText="1"/>
    </xf>
    <xf numFmtId="0" fontId="30" fillId="0" borderId="22" xfId="6" applyFont="1" applyBorder="1" applyAlignment="1">
      <alignment vertical="center" wrapText="1"/>
    </xf>
    <xf numFmtId="0" fontId="30" fillId="0" borderId="18" xfId="6" applyFont="1" applyBorder="1" applyAlignment="1">
      <alignment vertical="center" wrapText="1"/>
    </xf>
    <xf numFmtId="0" fontId="27" fillId="18" borderId="20" xfId="6" applyFont="1" applyFill="1" applyBorder="1" applyAlignment="1">
      <alignment horizontal="center" vertical="center" wrapText="1"/>
    </xf>
    <xf numFmtId="0" fontId="26" fillId="0" borderId="22" xfId="6" applyFont="1" applyBorder="1" applyAlignment="1">
      <alignment horizontal="center" vertical="center" wrapText="1"/>
    </xf>
    <xf numFmtId="0" fontId="26" fillId="0" borderId="18" xfId="6" applyFont="1" applyBorder="1" applyAlignment="1">
      <alignment horizontal="center" vertical="center" wrapText="1"/>
    </xf>
    <xf numFmtId="0" fontId="26" fillId="0" borderId="22" xfId="6" applyFont="1" applyBorder="1" applyAlignment="1">
      <alignment vertical="center" wrapText="1"/>
    </xf>
    <xf numFmtId="0" fontId="26" fillId="0" borderId="18" xfId="6" applyFont="1" applyBorder="1" applyAlignment="1">
      <alignment vertical="center" wrapText="1"/>
    </xf>
    <xf numFmtId="0" fontId="28" fillId="17" borderId="20" xfId="6" applyFont="1" applyFill="1" applyBorder="1" applyAlignment="1">
      <alignment horizontal="center" vertical="center" wrapText="1"/>
    </xf>
    <xf numFmtId="0" fontId="27" fillId="16" borderId="20" xfId="6" applyFont="1" applyFill="1" applyBorder="1" applyAlignment="1">
      <alignment horizontal="center" vertical="center"/>
    </xf>
    <xf numFmtId="0" fontId="27" fillId="16" borderId="22" xfId="6" applyFont="1" applyFill="1" applyBorder="1" applyAlignment="1">
      <alignment horizontal="center" vertical="center"/>
    </xf>
    <xf numFmtId="0" fontId="27" fillId="16" borderId="18" xfId="6" applyFont="1" applyFill="1" applyBorder="1" applyAlignment="1">
      <alignment horizontal="center" vertical="center"/>
    </xf>
    <xf numFmtId="0" fontId="27" fillId="2" borderId="20" xfId="6" applyFont="1" applyFill="1" applyBorder="1" applyAlignment="1">
      <alignment horizontal="center" vertical="center" wrapText="1"/>
    </xf>
    <xf numFmtId="0" fontId="34" fillId="0" borderId="56" xfId="0" applyFont="1" applyBorder="1" applyAlignment="1">
      <alignment vertical="center" wrapText="1"/>
    </xf>
    <xf numFmtId="0" fontId="35" fillId="20" borderId="56" xfId="0" applyFont="1" applyFill="1" applyBorder="1" applyAlignment="1">
      <alignment vertical="center" wrapText="1"/>
    </xf>
    <xf numFmtId="0" fontId="33" fillId="0" borderId="56" xfId="0" applyFont="1" applyBorder="1" applyAlignment="1">
      <alignment horizontal="center" vertical="center"/>
    </xf>
  </cellXfs>
  <cellStyles count="7">
    <cellStyle name="Accent1 2" xfId="1" xr:uid="{00000000-0005-0000-0000-000000000000}"/>
    <cellStyle name="Comma 2" xfId="2" xr:uid="{00000000-0005-0000-0000-000001000000}"/>
    <cellStyle name="Hyperlink" xfId="5" builtinId="8"/>
    <cellStyle name="Normal" xfId="0" builtinId="0"/>
    <cellStyle name="Normal 2" xfId="4" xr:uid="{00000000-0005-0000-0000-000004000000}"/>
    <cellStyle name="Normal 3" xfId="6" xr:uid="{00000000-0005-0000-0000-000005000000}"/>
    <cellStyle name="Percent 2" xfId="3" xr:uid="{00000000-0005-0000-0000-000006000000}"/>
  </cellStyles>
  <dxfs count="80">
    <dxf>
      <font>
        <color theme="0"/>
      </font>
      <fill>
        <patternFill>
          <bgColor rgb="FFFF000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B050"/>
        </patternFill>
      </fill>
    </dxf>
    <dxf>
      <font>
        <color theme="0"/>
      </font>
      <fill>
        <patternFill>
          <bgColor rgb="FFFF000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B050"/>
        </patternFill>
      </fill>
    </dxf>
    <dxf>
      <font>
        <color theme="0"/>
      </font>
      <fill>
        <patternFill>
          <bgColor rgb="FFFF000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B050"/>
        </patternFill>
      </fill>
    </dxf>
    <dxf>
      <font>
        <color theme="0"/>
      </font>
      <fill>
        <patternFill>
          <bgColor rgb="FFFF000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B050"/>
        </patternFill>
      </fill>
    </dxf>
    <dxf>
      <font>
        <color theme="0"/>
      </font>
      <fill>
        <patternFill>
          <bgColor rgb="FFFF000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B050"/>
        </patternFill>
      </fill>
    </dxf>
    <dxf>
      <font>
        <color theme="0"/>
      </font>
      <fill>
        <patternFill>
          <bgColor rgb="FFFF000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B050"/>
        </patternFill>
      </fill>
    </dxf>
    <dxf>
      <font>
        <color theme="0"/>
      </font>
      <fill>
        <patternFill>
          <bgColor rgb="FFFF000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B050"/>
        </patternFill>
      </fill>
    </dxf>
    <dxf>
      <font>
        <color theme="0"/>
      </font>
      <fill>
        <patternFill>
          <bgColor rgb="FF00B05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FF0000"/>
        </patternFill>
      </fill>
    </dxf>
    <dxf>
      <font>
        <color theme="0"/>
      </font>
      <fill>
        <patternFill>
          <bgColor rgb="FFC00000"/>
        </patternFill>
      </fill>
    </dxf>
    <dxf>
      <font>
        <color theme="0"/>
      </font>
      <fill>
        <patternFill>
          <bgColor rgb="FF00B050"/>
        </patternFill>
      </fill>
    </dxf>
    <dxf>
      <font>
        <color theme="0"/>
      </font>
      <fill>
        <patternFill>
          <bgColor rgb="FFC0BC00"/>
        </patternFill>
      </fill>
    </dxf>
    <dxf>
      <font>
        <color theme="0"/>
      </font>
      <fill>
        <patternFill>
          <bgColor theme="9" tint="-0.24994659260841701"/>
        </patternFill>
      </fill>
    </dxf>
    <dxf>
      <font>
        <color theme="0"/>
      </font>
      <fill>
        <patternFill>
          <bgColor rgb="FF00B05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color theme="0"/>
      </font>
      <fill>
        <patternFill>
          <bgColor rgb="FFC0BC00"/>
        </patternFill>
      </fill>
    </dxf>
    <dxf>
      <font>
        <color theme="0"/>
      </font>
      <fill>
        <patternFill>
          <bgColor theme="9" tint="-0.24994659260841701"/>
        </patternFill>
      </fill>
    </dxf>
    <dxf>
      <font>
        <color theme="0"/>
      </font>
      <fill>
        <patternFill>
          <bgColor rgb="FFC00000"/>
        </patternFill>
      </fill>
    </dxf>
    <dxf>
      <font>
        <color theme="0"/>
      </font>
      <fill>
        <patternFill>
          <bgColor rgb="FFFF0000"/>
        </patternFill>
      </fill>
    </dxf>
    <dxf>
      <font>
        <color theme="0"/>
      </font>
      <fill>
        <patternFill>
          <bgColor rgb="FFFF000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B050"/>
        </patternFill>
      </fill>
    </dxf>
    <dxf>
      <font>
        <color theme="0"/>
      </font>
      <fill>
        <patternFill>
          <bgColor rgb="FFFF0000"/>
        </patternFill>
      </fill>
    </dxf>
    <dxf>
      <font>
        <color theme="0"/>
      </font>
      <fill>
        <patternFill>
          <bgColor rgb="FFC00000"/>
        </patternFill>
      </fill>
    </dxf>
    <dxf>
      <font>
        <color theme="0"/>
      </font>
      <fill>
        <patternFill>
          <bgColor theme="9" tint="-0.24994659260841701"/>
        </patternFill>
      </fill>
    </dxf>
    <dxf>
      <font>
        <color theme="0"/>
      </font>
      <fill>
        <patternFill>
          <bgColor rgb="FFC0BC00"/>
        </patternFill>
      </fill>
    </dxf>
    <dxf>
      <font>
        <color theme="0"/>
      </font>
      <fill>
        <patternFill>
          <bgColor rgb="FF00B05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v>Current Program</c:v>
          </c:tx>
          <c:invertIfNegative val="0"/>
          <c:cat>
            <c:strRef>
              <c:f>'SUMMARY-All Categories'!$B$5:$B$8</c:f>
              <c:strCache>
                <c:ptCount val="4"/>
                <c:pt idx="0">
                  <c:v>PREPARATION (PR)</c:v>
                </c:pt>
                <c:pt idx="1">
                  <c:v>DETECTION &amp; ANALYSIS (DA)</c:v>
                </c:pt>
                <c:pt idx="2">
                  <c:v>CONTAINMENT, ERADICATOIN &amp; RECOVERY (CER)</c:v>
                </c:pt>
                <c:pt idx="3">
                  <c:v>POST INCIDENT ACTIVITY (PIA)</c:v>
                </c:pt>
              </c:strCache>
            </c:strRef>
          </c:cat>
          <c:val>
            <c:numRef>
              <c:f>'SUMMARY-All Categories'!$C$5:$C$8</c:f>
              <c:numCache>
                <c:formatCode>0.00</c:formatCode>
                <c:ptCount val="4"/>
                <c:pt idx="0">
                  <c:v>2.65</c:v>
                </c:pt>
                <c:pt idx="1">
                  <c:v>2.1163961038961041</c:v>
                </c:pt>
                <c:pt idx="2">
                  <c:v>2.25</c:v>
                </c:pt>
                <c:pt idx="3">
                  <c:v>2.25</c:v>
                </c:pt>
              </c:numCache>
            </c:numRef>
          </c:val>
          <c:extLst>
            <c:ext xmlns:c16="http://schemas.microsoft.com/office/drawing/2014/chart" uri="{C3380CC4-5D6E-409C-BE32-E72D297353CC}">
              <c16:uniqueId val="{00000000-45B6-49AB-9FF7-CEAD0C095A00}"/>
            </c:ext>
          </c:extLst>
        </c:ser>
        <c:ser>
          <c:idx val="1"/>
          <c:order val="1"/>
          <c:tx>
            <c:v>Target Program</c:v>
          </c:tx>
          <c:invertIfNegative val="0"/>
          <c:cat>
            <c:strRef>
              <c:f>'SUMMARY-All Categories'!$B$5:$B$8</c:f>
              <c:strCache>
                <c:ptCount val="4"/>
                <c:pt idx="0">
                  <c:v>PREPARATION (PR)</c:v>
                </c:pt>
                <c:pt idx="1">
                  <c:v>DETECTION &amp; ANALYSIS (DA)</c:v>
                </c:pt>
                <c:pt idx="2">
                  <c:v>CONTAINMENT, ERADICATOIN &amp; RECOVERY (CER)</c:v>
                </c:pt>
                <c:pt idx="3">
                  <c:v>POST INCIDENT ACTIVITY (PIA)</c:v>
                </c:pt>
              </c:strCache>
            </c:strRef>
          </c:cat>
          <c:val>
            <c:numRef>
              <c:f>'SUMMARY-All Categories'!$D$5:$D$8</c:f>
              <c:numCache>
                <c:formatCode>0.00</c:formatCode>
                <c:ptCount val="4"/>
                <c:pt idx="0">
                  <c:v>4</c:v>
                </c:pt>
                <c:pt idx="1">
                  <c:v>4</c:v>
                </c:pt>
                <c:pt idx="2">
                  <c:v>4</c:v>
                </c:pt>
                <c:pt idx="3">
                  <c:v>4</c:v>
                </c:pt>
              </c:numCache>
            </c:numRef>
          </c:val>
          <c:extLst>
            <c:ext xmlns:c16="http://schemas.microsoft.com/office/drawing/2014/chart" uri="{C3380CC4-5D6E-409C-BE32-E72D297353CC}">
              <c16:uniqueId val="{00000001-45B6-49AB-9FF7-CEAD0C095A00}"/>
            </c:ext>
          </c:extLst>
        </c:ser>
        <c:dLbls>
          <c:showLegendKey val="0"/>
          <c:showVal val="0"/>
          <c:showCatName val="0"/>
          <c:showSerName val="0"/>
          <c:showPercent val="0"/>
          <c:showBubbleSize val="0"/>
        </c:dLbls>
        <c:gapWidth val="150"/>
        <c:shape val="box"/>
        <c:axId val="243417088"/>
        <c:axId val="243418624"/>
        <c:axId val="0"/>
      </c:bar3DChart>
      <c:catAx>
        <c:axId val="243417088"/>
        <c:scaling>
          <c:orientation val="minMax"/>
        </c:scaling>
        <c:delete val="0"/>
        <c:axPos val="b"/>
        <c:numFmt formatCode="General" sourceLinked="0"/>
        <c:majorTickMark val="out"/>
        <c:minorTickMark val="none"/>
        <c:tickLblPos val="nextTo"/>
        <c:crossAx val="243418624"/>
        <c:crosses val="autoZero"/>
        <c:auto val="1"/>
        <c:lblAlgn val="ctr"/>
        <c:lblOffset val="100"/>
        <c:noMultiLvlLbl val="0"/>
      </c:catAx>
      <c:valAx>
        <c:axId val="243418624"/>
        <c:scaling>
          <c:orientation val="minMax"/>
        </c:scaling>
        <c:delete val="0"/>
        <c:axPos val="l"/>
        <c:majorGridlines/>
        <c:numFmt formatCode="0.00" sourceLinked="1"/>
        <c:majorTickMark val="out"/>
        <c:minorTickMark val="none"/>
        <c:tickLblPos val="nextTo"/>
        <c:crossAx val="243417088"/>
        <c:crosses val="autoZero"/>
        <c:crossBetween val="between"/>
      </c:valAx>
    </c:plotArea>
    <c:legend>
      <c:legendPos val="r"/>
      <c:overlay val="0"/>
    </c:legend>
    <c:plotVisOnly val="1"/>
    <c:dispBlanksAs val="gap"/>
    <c:showDLblsOverMax val="0"/>
  </c:chart>
  <c:printSettings>
    <c:headerFooter/>
    <c:pageMargins b="0.75000000000000355" l="0.70000000000000095" r="0.70000000000000095" t="0.75000000000000355"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Cyber Security Resiliency</a:t>
            </a:r>
            <a:endParaRPr lang="en-US"/>
          </a:p>
        </c:rich>
      </c:tx>
      <c:overlay val="0"/>
    </c:title>
    <c:autoTitleDeleted val="0"/>
    <c:plotArea>
      <c:layout/>
      <c:radarChart>
        <c:radarStyle val="marker"/>
        <c:varyColors val="0"/>
        <c:ser>
          <c:idx val="0"/>
          <c:order val="0"/>
          <c:tx>
            <c:strRef>
              <c:f>'SUMMARY-All Categories'!$C$4</c:f>
              <c:strCache>
                <c:ptCount val="1"/>
                <c:pt idx="0">
                  <c:v>Current Program</c:v>
                </c:pt>
              </c:strCache>
            </c:strRef>
          </c:tx>
          <c:marker>
            <c:symbol val="none"/>
          </c:marker>
          <c:cat>
            <c:strRef>
              <c:f>'SUMMARY-All Categories'!$B$5:$B$8</c:f>
              <c:strCache>
                <c:ptCount val="4"/>
                <c:pt idx="0">
                  <c:v>PREPARATION (PR)</c:v>
                </c:pt>
                <c:pt idx="1">
                  <c:v>DETECTION &amp; ANALYSIS (DA)</c:v>
                </c:pt>
                <c:pt idx="2">
                  <c:v>CONTAINMENT, ERADICATOIN &amp; RECOVERY (CER)</c:v>
                </c:pt>
                <c:pt idx="3">
                  <c:v>POST INCIDENT ACTIVITY (PIA)</c:v>
                </c:pt>
              </c:strCache>
            </c:strRef>
          </c:cat>
          <c:val>
            <c:numRef>
              <c:f>'SUMMARY-All Categories'!$C$5:$C$8</c:f>
              <c:numCache>
                <c:formatCode>0.00</c:formatCode>
                <c:ptCount val="4"/>
                <c:pt idx="0">
                  <c:v>2.65</c:v>
                </c:pt>
                <c:pt idx="1">
                  <c:v>2.1163961038961041</c:v>
                </c:pt>
                <c:pt idx="2">
                  <c:v>2.25</c:v>
                </c:pt>
                <c:pt idx="3">
                  <c:v>2.25</c:v>
                </c:pt>
              </c:numCache>
            </c:numRef>
          </c:val>
          <c:extLst>
            <c:ext xmlns:c16="http://schemas.microsoft.com/office/drawing/2014/chart" uri="{C3380CC4-5D6E-409C-BE32-E72D297353CC}">
              <c16:uniqueId val="{00000000-7743-4509-84BA-91AF3F747D86}"/>
            </c:ext>
          </c:extLst>
        </c:ser>
        <c:ser>
          <c:idx val="1"/>
          <c:order val="1"/>
          <c:tx>
            <c:strRef>
              <c:f>'SUMMARY-All Categories'!$D$4</c:f>
              <c:strCache>
                <c:ptCount val="1"/>
                <c:pt idx="0">
                  <c:v>Target Program</c:v>
                </c:pt>
              </c:strCache>
            </c:strRef>
          </c:tx>
          <c:marker>
            <c:symbol val="none"/>
          </c:marker>
          <c:cat>
            <c:strRef>
              <c:f>'SUMMARY-All Categories'!$B$5:$B$8</c:f>
              <c:strCache>
                <c:ptCount val="4"/>
                <c:pt idx="0">
                  <c:v>PREPARATION (PR)</c:v>
                </c:pt>
                <c:pt idx="1">
                  <c:v>DETECTION &amp; ANALYSIS (DA)</c:v>
                </c:pt>
                <c:pt idx="2">
                  <c:v>CONTAINMENT, ERADICATOIN &amp; RECOVERY (CER)</c:v>
                </c:pt>
                <c:pt idx="3">
                  <c:v>POST INCIDENT ACTIVITY (PIA)</c:v>
                </c:pt>
              </c:strCache>
            </c:strRef>
          </c:cat>
          <c:val>
            <c:numRef>
              <c:f>'SUMMARY-All Categories'!$D$5:$D$8</c:f>
              <c:numCache>
                <c:formatCode>0.00</c:formatCode>
                <c:ptCount val="4"/>
                <c:pt idx="0">
                  <c:v>4</c:v>
                </c:pt>
                <c:pt idx="1">
                  <c:v>4</c:v>
                </c:pt>
                <c:pt idx="2">
                  <c:v>4</c:v>
                </c:pt>
                <c:pt idx="3">
                  <c:v>4</c:v>
                </c:pt>
              </c:numCache>
            </c:numRef>
          </c:val>
          <c:extLst>
            <c:ext xmlns:c16="http://schemas.microsoft.com/office/drawing/2014/chart" uri="{C3380CC4-5D6E-409C-BE32-E72D297353CC}">
              <c16:uniqueId val="{00000001-7743-4509-84BA-91AF3F747D86}"/>
            </c:ext>
          </c:extLst>
        </c:ser>
        <c:dLbls>
          <c:showLegendKey val="0"/>
          <c:showVal val="0"/>
          <c:showCatName val="0"/>
          <c:showSerName val="0"/>
          <c:showPercent val="0"/>
          <c:showBubbleSize val="0"/>
        </c:dLbls>
        <c:axId val="243435776"/>
        <c:axId val="243441664"/>
      </c:radarChart>
      <c:catAx>
        <c:axId val="243435776"/>
        <c:scaling>
          <c:orientation val="minMax"/>
        </c:scaling>
        <c:delete val="0"/>
        <c:axPos val="b"/>
        <c:majorGridlines/>
        <c:numFmt formatCode="General" sourceLinked="0"/>
        <c:majorTickMark val="none"/>
        <c:minorTickMark val="none"/>
        <c:tickLblPos val="nextTo"/>
        <c:spPr>
          <a:ln w="9525">
            <a:noFill/>
          </a:ln>
        </c:spPr>
        <c:crossAx val="243441664"/>
        <c:crosses val="autoZero"/>
        <c:auto val="1"/>
        <c:lblAlgn val="ctr"/>
        <c:lblOffset val="100"/>
        <c:noMultiLvlLbl val="0"/>
      </c:catAx>
      <c:valAx>
        <c:axId val="243441664"/>
        <c:scaling>
          <c:orientation val="minMax"/>
        </c:scaling>
        <c:delete val="0"/>
        <c:axPos val="l"/>
        <c:majorGridlines/>
        <c:numFmt formatCode="0.00" sourceLinked="1"/>
        <c:majorTickMark val="none"/>
        <c:minorTickMark val="none"/>
        <c:tickLblPos val="nextTo"/>
        <c:crossAx val="24343577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Control Percentage Met</a:t>
            </a:r>
          </a:p>
        </c:rich>
      </c:tx>
      <c:overlay val="0"/>
    </c:title>
    <c:autoTitleDeleted val="0"/>
    <c:plotArea>
      <c:layout/>
      <c:barChart>
        <c:barDir val="bar"/>
        <c:grouping val="clustered"/>
        <c:varyColors val="0"/>
        <c:ser>
          <c:idx val="0"/>
          <c:order val="0"/>
          <c:tx>
            <c:v>Percentage Met</c:v>
          </c:tx>
          <c:invertIfNegative val="0"/>
          <c:cat>
            <c:strRef>
              <c:f>'SUMMARY-All Categories'!$B$28:$B$43</c:f>
              <c:strCache>
                <c:ptCount val="16"/>
                <c:pt idx="0">
                  <c:v>Preparing to Handle Incident Total</c:v>
                </c:pt>
                <c:pt idx="1">
                  <c:v>Preventing Incidents Total</c:v>
                </c:pt>
                <c:pt idx="2">
                  <c:v>Attack Vectors</c:v>
                </c:pt>
                <c:pt idx="3">
                  <c:v>Signs of an incident</c:v>
                </c:pt>
                <c:pt idx="4">
                  <c:v>Sources of precursors and indicators</c:v>
                </c:pt>
                <c:pt idx="5">
                  <c:v>Incident Analysis</c:v>
                </c:pt>
                <c:pt idx="6">
                  <c:v>Incident documentation</c:v>
                </c:pt>
                <c:pt idx="7">
                  <c:v>Incident prioritization</c:v>
                </c:pt>
                <c:pt idx="8">
                  <c:v>Incident Notification</c:v>
                </c:pt>
                <c:pt idx="9">
                  <c:v>Choosing a Containment Strategy Total</c:v>
                </c:pt>
                <c:pt idx="10">
                  <c:v>Evidence gathering and handling Total</c:v>
                </c:pt>
                <c:pt idx="11">
                  <c:v>Identifying the attacking hosts Total</c:v>
                </c:pt>
                <c:pt idx="12">
                  <c:v>Eradication and Recovery</c:v>
                </c:pt>
                <c:pt idx="13">
                  <c:v>Lessons Learned Total</c:v>
                </c:pt>
                <c:pt idx="14">
                  <c:v>Using Collected Incident Data Total</c:v>
                </c:pt>
                <c:pt idx="15">
                  <c:v>Evidence Retention Total</c:v>
                </c:pt>
              </c:strCache>
            </c:strRef>
          </c:cat>
          <c:val>
            <c:numRef>
              <c:f>'SUMMARY-All Categories'!$D$28:$D$43</c:f>
              <c:numCache>
                <c:formatCode>0.00%</c:formatCode>
                <c:ptCount val="16"/>
                <c:pt idx="0">
                  <c:v>0.625</c:v>
                </c:pt>
                <c:pt idx="1">
                  <c:v>0.7</c:v>
                </c:pt>
                <c:pt idx="2">
                  <c:v>0.46875</c:v>
                </c:pt>
                <c:pt idx="3">
                  <c:v>0.5</c:v>
                </c:pt>
                <c:pt idx="4">
                  <c:v>0.42857142857142855</c:v>
                </c:pt>
                <c:pt idx="5">
                  <c:v>0.46875</c:v>
                </c:pt>
                <c:pt idx="6">
                  <c:v>0.5</c:v>
                </c:pt>
                <c:pt idx="7">
                  <c:v>0.42857142857142855</c:v>
                </c:pt>
                <c:pt idx="8">
                  <c:v>0.55000000000000004</c:v>
                </c:pt>
                <c:pt idx="9">
                  <c:v>0.72727272727272729</c:v>
                </c:pt>
                <c:pt idx="10">
                  <c:v>0.5</c:v>
                </c:pt>
                <c:pt idx="11">
                  <c:v>0.875</c:v>
                </c:pt>
                <c:pt idx="12">
                  <c:v>0.25</c:v>
                </c:pt>
                <c:pt idx="13">
                  <c:v>0.625</c:v>
                </c:pt>
                <c:pt idx="14">
                  <c:v>0.5</c:v>
                </c:pt>
                <c:pt idx="15">
                  <c:v>0.4375</c:v>
                </c:pt>
              </c:numCache>
            </c:numRef>
          </c:val>
          <c:extLst>
            <c:ext xmlns:c16="http://schemas.microsoft.com/office/drawing/2014/chart" uri="{C3380CC4-5D6E-409C-BE32-E72D297353CC}">
              <c16:uniqueId val="{00000000-0235-469A-B7A1-7EC91062C32D}"/>
            </c:ext>
          </c:extLst>
        </c:ser>
        <c:dLbls>
          <c:showLegendKey val="0"/>
          <c:showVal val="0"/>
          <c:showCatName val="0"/>
          <c:showSerName val="0"/>
          <c:showPercent val="0"/>
          <c:showBubbleSize val="0"/>
        </c:dLbls>
        <c:gapWidth val="150"/>
        <c:axId val="243481984"/>
        <c:axId val="243480448"/>
      </c:barChart>
      <c:valAx>
        <c:axId val="243480448"/>
        <c:scaling>
          <c:orientation val="minMax"/>
          <c:max val="1"/>
          <c:min val="0"/>
        </c:scaling>
        <c:delete val="0"/>
        <c:axPos val="t"/>
        <c:majorGridlines/>
        <c:numFmt formatCode="0.0%" sourceLinked="0"/>
        <c:majorTickMark val="out"/>
        <c:minorTickMark val="none"/>
        <c:tickLblPos val="nextTo"/>
        <c:crossAx val="243481984"/>
        <c:crosses val="autoZero"/>
        <c:crossBetween val="between"/>
        <c:majorUnit val="0.2"/>
      </c:valAx>
      <c:catAx>
        <c:axId val="243481984"/>
        <c:scaling>
          <c:orientation val="maxMin"/>
        </c:scaling>
        <c:delete val="0"/>
        <c:axPos val="l"/>
        <c:majorGridlines/>
        <c:minorGridlines/>
        <c:numFmt formatCode="General" sourceLinked="0"/>
        <c:majorTickMark val="out"/>
        <c:minorTickMark val="none"/>
        <c:tickLblPos val="nextTo"/>
        <c:crossAx val="243480448"/>
        <c:crossesAt val="0"/>
        <c:auto val="1"/>
        <c:lblAlgn val="ctr"/>
        <c:lblOffset val="100"/>
        <c:noMultiLvlLbl val="0"/>
      </c:catAx>
    </c:plotArea>
    <c:legend>
      <c:legendPos val="b"/>
      <c:overlay val="0"/>
      <c:txPr>
        <a:bodyPr/>
        <a:lstStyle/>
        <a:p>
          <a:pPr rtl="0">
            <a:defRPr/>
          </a:pPr>
          <a:endParaRPr lang="en-US"/>
        </a:p>
      </c:txPr>
    </c:legend>
    <c:plotVisOnly val="1"/>
    <c:dispBlanksAs val="gap"/>
    <c:showDLblsOverMax val="0"/>
  </c:chart>
  <c:printSettings>
    <c:headerFooter/>
    <c:pageMargins b="0.75000000000000355" l="0.70000000000000095" r="0.70000000000000095" t="0.75000000000000355"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0</xdr:col>
      <xdr:colOff>38100</xdr:colOff>
      <xdr:row>2</xdr:row>
      <xdr:rowOff>19048</xdr:rowOff>
    </xdr:from>
    <xdr:to>
      <xdr:col>14</xdr:col>
      <xdr:colOff>542925</xdr:colOff>
      <xdr:row>33</xdr:row>
      <xdr:rowOff>57150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38100" y="349248"/>
          <a:ext cx="10461625" cy="51562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t>NIST Cyber Security Framework assessment questionaire prepared for Deloitte client</a:t>
          </a:r>
        </a:p>
        <a:p>
          <a:endParaRPr lang="en-US" sz="1100" baseline="0"/>
        </a:p>
        <a:p>
          <a:r>
            <a:rPr lang="en-US" sz="1100" b="1" baseline="0"/>
            <a:t>Objective</a:t>
          </a:r>
        </a:p>
        <a:p>
          <a:endParaRPr lang="en-US" sz="1100" b="1" baseline="0"/>
        </a:p>
        <a:p>
          <a:r>
            <a:rPr lang="en-US" sz="1100" b="0">
              <a:solidFill>
                <a:schemeClr val="dk1"/>
              </a:solidFill>
              <a:effectLst/>
              <a:latin typeface="+mn-lt"/>
              <a:ea typeface="+mn-ea"/>
              <a:cs typeface="+mn-cs"/>
            </a:rPr>
            <a:t>Deloitte</a:t>
          </a:r>
          <a:r>
            <a:rPr lang="en-US" sz="1100" b="0" baseline="0">
              <a:solidFill>
                <a:schemeClr val="dk1"/>
              </a:solidFill>
              <a:effectLst/>
              <a:latin typeface="+mn-lt"/>
              <a:ea typeface="+mn-ea"/>
              <a:cs typeface="+mn-cs"/>
            </a:rPr>
            <a:t> assessor will utilize the  response  information provided by the client herein to evaluate the resiliency of the client's cyber security program. </a:t>
          </a:r>
        </a:p>
        <a:p>
          <a:endParaRPr lang="en-US" sz="1100" b="0" baseline="0">
            <a:solidFill>
              <a:schemeClr val="dk1"/>
            </a:solidFill>
            <a:effectLst/>
            <a:latin typeface="+mn-lt"/>
            <a:ea typeface="+mn-ea"/>
            <a:cs typeface="+mn-cs"/>
          </a:endParaRPr>
        </a:p>
        <a:p>
          <a:r>
            <a:rPr lang="en-US" sz="1100" b="0" baseline="0">
              <a:solidFill>
                <a:schemeClr val="dk1"/>
              </a:solidFill>
              <a:effectLst/>
              <a:latin typeface="+mn-lt"/>
              <a:ea typeface="+mn-ea"/>
              <a:cs typeface="+mn-cs"/>
            </a:rPr>
            <a:t>The response summaries provided by the client, combined with the cyber security Framework tier assessment index will provide an overall holistic view of the clients cyber security posture and viability of the program.</a:t>
          </a: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Instructions</a:t>
          </a:r>
        </a:p>
        <a:p>
          <a:endParaRPr lang="en-US" sz="1100" b="0" baseline="0">
            <a:solidFill>
              <a:schemeClr val="dk1"/>
            </a:solidFill>
            <a:effectLst/>
            <a:latin typeface="+mn-lt"/>
            <a:ea typeface="+mn-ea"/>
            <a:cs typeface="+mn-cs"/>
          </a:endParaRPr>
        </a:p>
        <a:p>
          <a:r>
            <a:rPr lang="en-US" sz="1100" b="0" baseline="0">
              <a:solidFill>
                <a:schemeClr val="dk1"/>
              </a:solidFill>
              <a:effectLst/>
              <a:latin typeface="+mn-lt"/>
              <a:ea typeface="+mn-ea"/>
              <a:cs typeface="+mn-cs"/>
            </a:rPr>
            <a:t>In order to select the appropriate tier for the existing processes please select from the drop down menu  (example 1). The 'CSF Tiers'  assessment index should be read and each question evaluated in consideration of the appropriate  controls, and a descriptive summary provided (example 2). Additionally the NIST Cyber Security Framework Executive Order 13636 'CSF Core' may be referenced for each question by clicking the category hyperlink (ex ample 3).</a:t>
          </a:r>
        </a:p>
        <a:p>
          <a:endParaRPr lang="en-US" sz="1100" b="0" baseline="0">
            <a:solidFill>
              <a:schemeClr val="dk1"/>
            </a:solidFill>
            <a:effectLst/>
            <a:latin typeface="+mn-lt"/>
            <a:ea typeface="+mn-ea"/>
            <a:cs typeface="+mn-cs"/>
          </a:endParaRPr>
        </a:p>
        <a:p>
          <a:r>
            <a:rPr lang="en-US" sz="1100" b="0" baseline="0">
              <a:solidFill>
                <a:schemeClr val="dk1"/>
              </a:solidFill>
              <a:effectLst/>
              <a:latin typeface="+mn-lt"/>
              <a:ea typeface="+mn-ea"/>
              <a:cs typeface="+mn-cs"/>
            </a:rPr>
            <a:t>An overall graphical summary representation can be viewed on the SUMMARY-All Categories tab. This will provide various indications of the current resiliance rating of the program as compared to an ideal industry best practice standards.</a:t>
          </a:r>
        </a:p>
        <a:p>
          <a:endParaRPr lang="en-US" sz="1100" b="0" baseline="0">
            <a:solidFill>
              <a:schemeClr val="dk1"/>
            </a:solidFill>
            <a:effectLst/>
            <a:latin typeface="+mn-lt"/>
            <a:ea typeface="+mn-ea"/>
            <a:cs typeface="+mn-cs"/>
          </a:endParaRPr>
        </a:p>
        <a:p>
          <a:r>
            <a:rPr lang="en-US" sz="1100" b="0" baseline="0">
              <a:solidFill>
                <a:schemeClr val="dk1"/>
              </a:solidFill>
              <a:effectLst/>
              <a:latin typeface="+mn-lt"/>
              <a:ea typeface="+mn-ea"/>
              <a:cs typeface="+mn-cs"/>
            </a:rPr>
            <a:t>Please select the appropriate rating for each question by choosing from the drop-down menu, and provide a descriptive summary in the appropriate field.</a:t>
          </a: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Example 1 Drop Down Selection 	         Example 2 Client's Descriptive Summary                                              </a:t>
          </a:r>
        </a:p>
      </xdr:txBody>
    </xdr:sp>
    <xdr:clientData/>
  </xdr:twoCellAnchor>
  <xdr:twoCellAnchor editAs="oneCell">
    <xdr:from>
      <xdr:col>0</xdr:col>
      <xdr:colOff>323850</xdr:colOff>
      <xdr:row>25</xdr:row>
      <xdr:rowOff>66673</xdr:rowOff>
    </xdr:from>
    <xdr:to>
      <xdr:col>2</xdr:col>
      <xdr:colOff>66555</xdr:colOff>
      <xdr:row>31</xdr:row>
      <xdr:rowOff>133218</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323850" y="4114798"/>
          <a:ext cx="961905" cy="1038095"/>
        </a:xfrm>
        <a:prstGeom prst="rect">
          <a:avLst/>
        </a:prstGeom>
      </xdr:spPr>
    </xdr:pic>
    <xdr:clientData/>
  </xdr:twoCellAnchor>
  <xdr:twoCellAnchor editAs="oneCell">
    <xdr:from>
      <xdr:col>4</xdr:col>
      <xdr:colOff>142875</xdr:colOff>
      <xdr:row>25</xdr:row>
      <xdr:rowOff>57148</xdr:rowOff>
    </xdr:from>
    <xdr:to>
      <xdr:col>9</xdr:col>
      <xdr:colOff>523447</xdr:colOff>
      <xdr:row>32</xdr:row>
      <xdr:rowOff>9387</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2581275" y="4105273"/>
          <a:ext cx="3428572" cy="1085714"/>
        </a:xfrm>
        <a:prstGeom prst="rect">
          <a:avLst/>
        </a:prstGeom>
      </xdr:spPr>
    </xdr:pic>
    <xdr:clientData/>
  </xdr:twoCellAnchor>
  <xdr:twoCellAnchor editAs="oneCell">
    <xdr:from>
      <xdr:col>0</xdr:col>
      <xdr:colOff>0</xdr:colOff>
      <xdr:row>0</xdr:row>
      <xdr:rowOff>0</xdr:rowOff>
    </xdr:from>
    <xdr:to>
      <xdr:col>2</xdr:col>
      <xdr:colOff>444500</xdr:colOff>
      <xdr:row>2</xdr:row>
      <xdr:rowOff>81616</xdr:rowOff>
    </xdr:to>
    <xdr:pic>
      <xdr:nvPicPr>
        <xdr:cNvPr id="4" name="Picture 3">
          <a:extLst>
            <a:ext uri="{FF2B5EF4-FFF2-40B4-BE49-F238E27FC236}">
              <a16:creationId xmlns:a16="http://schemas.microsoft.com/office/drawing/2014/main" id="{9C10CE1B-D6AB-D548-A07C-9550F4556CCC}"/>
            </a:ext>
          </a:extLst>
        </xdr:cNvPr>
        <xdr:cNvPicPr>
          <a:picLocks noChangeAspect="1"/>
        </xdr:cNvPicPr>
      </xdr:nvPicPr>
      <xdr:blipFill>
        <a:blip xmlns:r="http://schemas.openxmlformats.org/officeDocument/2006/relationships" r:embed="rId3"/>
        <a:stretch>
          <a:fillRect/>
        </a:stretch>
      </xdr:blipFill>
      <xdr:spPr>
        <a:xfrm>
          <a:off x="0" y="0"/>
          <a:ext cx="1866900" cy="4118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24848</xdr:colOff>
      <xdr:row>0</xdr:row>
      <xdr:rowOff>41413</xdr:rowOff>
    </xdr:from>
    <xdr:to>
      <xdr:col>0</xdr:col>
      <xdr:colOff>1644461</xdr:colOff>
      <xdr:row>1</xdr:row>
      <xdr:rowOff>2551</xdr:rowOff>
    </xdr:to>
    <xdr:pic>
      <xdr:nvPicPr>
        <xdr:cNvPr id="2" name="Picture 1" descr="http://capitalbusiness.me/files/2012/05/DEL_COL.jpg">
          <a:extLst>
            <a:ext uri="{FF2B5EF4-FFF2-40B4-BE49-F238E27FC236}">
              <a16:creationId xmlns:a16="http://schemas.microsoft.com/office/drawing/2014/main" id="{00000000-0008-0000-0200-00000200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848" y="41413"/>
          <a:ext cx="1619613" cy="3326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9</xdr:row>
      <xdr:rowOff>142875</xdr:rowOff>
    </xdr:from>
    <xdr:to>
      <xdr:col>4</xdr:col>
      <xdr:colOff>1304925</xdr:colOff>
      <xdr:row>23</xdr:row>
      <xdr:rowOff>28575</xdr:rowOff>
    </xdr:to>
    <xdr:graphicFrame macro="">
      <xdr:nvGraphicFramePr>
        <xdr:cNvPr id="3" name="Chart 2" title="Target Program">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291465</xdr:colOff>
      <xdr:row>2</xdr:row>
      <xdr:rowOff>17145</xdr:rowOff>
    </xdr:from>
    <xdr:to>
      <xdr:col>14</xdr:col>
      <xdr:colOff>114300</xdr:colOff>
      <xdr:row>17</xdr:row>
      <xdr:rowOff>133350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1428748</xdr:colOff>
      <xdr:row>19</xdr:row>
      <xdr:rowOff>38100</xdr:rowOff>
    </xdr:from>
    <xdr:to>
      <xdr:col>14</xdr:col>
      <xdr:colOff>276225</xdr:colOff>
      <xdr:row>43</xdr:row>
      <xdr:rowOff>0</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0</xdr:row>
      <xdr:rowOff>0</xdr:rowOff>
    </xdr:from>
    <xdr:to>
      <xdr:col>2</xdr:col>
      <xdr:colOff>25400</xdr:colOff>
      <xdr:row>2</xdr:row>
      <xdr:rowOff>12700</xdr:rowOff>
    </xdr:to>
    <xdr:pic>
      <xdr:nvPicPr>
        <xdr:cNvPr id="4" name="Picture 3">
          <a:extLst>
            <a:ext uri="{FF2B5EF4-FFF2-40B4-BE49-F238E27FC236}">
              <a16:creationId xmlns:a16="http://schemas.microsoft.com/office/drawing/2014/main" id="{122B4E2E-D895-21A6-F9C8-31EC7A798C6D}"/>
            </a:ext>
          </a:extLst>
        </xdr:cNvPr>
        <xdr:cNvPicPr>
          <a:picLocks noChangeAspect="1"/>
        </xdr:cNvPicPr>
      </xdr:nvPicPr>
      <xdr:blipFill>
        <a:blip xmlns:r="http://schemas.openxmlformats.org/officeDocument/2006/relationships" r:embed="rId4"/>
        <a:stretch>
          <a:fillRect/>
        </a:stretch>
      </xdr:blipFill>
      <xdr:spPr>
        <a:xfrm>
          <a:off x="152400" y="0"/>
          <a:ext cx="2590800" cy="571500"/>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0.17247</cdr:x>
      <cdr:y>0.0625</cdr:y>
    </cdr:from>
    <cdr:to>
      <cdr:x>0.3177</cdr:x>
      <cdr:y>0.39583</cdr:y>
    </cdr:to>
    <cdr:sp macro="" textlink="">
      <cdr:nvSpPr>
        <cdr:cNvPr id="2" name="TextBox 1"/>
        <cdr:cNvSpPr txBox="1"/>
      </cdr:nvSpPr>
      <cdr:spPr>
        <a:xfrm xmlns:a="http://schemas.openxmlformats.org/drawingml/2006/main">
          <a:off x="1085850" y="17145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5.xml><?xml version="1.0" encoding="utf-8"?>
<c:userShapes xmlns:c="http://schemas.openxmlformats.org/drawingml/2006/chart">
  <cdr:relSizeAnchor xmlns:cdr="http://schemas.openxmlformats.org/drawingml/2006/chartDrawing">
    <cdr:from>
      <cdr:x>0.17247</cdr:x>
      <cdr:y>0.0625</cdr:y>
    </cdr:from>
    <cdr:to>
      <cdr:x>0.3177</cdr:x>
      <cdr:y>0.39583</cdr:y>
    </cdr:to>
    <cdr:sp macro="" textlink="">
      <cdr:nvSpPr>
        <cdr:cNvPr id="2" name="TextBox 1"/>
        <cdr:cNvSpPr txBox="1"/>
      </cdr:nvSpPr>
      <cdr:spPr>
        <a:xfrm xmlns:a="http://schemas.openxmlformats.org/drawingml/2006/main">
          <a:off x="1085850" y="17145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2133600</xdr:colOff>
      <xdr:row>1</xdr:row>
      <xdr:rowOff>26147</xdr:rowOff>
    </xdr:to>
    <xdr:pic>
      <xdr:nvPicPr>
        <xdr:cNvPr id="3" name="Picture 2">
          <a:extLst>
            <a:ext uri="{FF2B5EF4-FFF2-40B4-BE49-F238E27FC236}">
              <a16:creationId xmlns:a16="http://schemas.microsoft.com/office/drawing/2014/main" id="{763AF3DB-99AB-1749-BA4F-E5D7D767B766}"/>
            </a:ext>
          </a:extLst>
        </xdr:cNvPr>
        <xdr:cNvPicPr>
          <a:picLocks noChangeAspect="1"/>
        </xdr:cNvPicPr>
      </xdr:nvPicPr>
      <xdr:blipFill>
        <a:blip xmlns:r="http://schemas.openxmlformats.org/officeDocument/2006/relationships" r:embed="rId1"/>
        <a:stretch>
          <a:fillRect/>
        </a:stretch>
      </xdr:blipFill>
      <xdr:spPr>
        <a:xfrm>
          <a:off x="0" y="0"/>
          <a:ext cx="2133600" cy="47064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24848</xdr:colOff>
      <xdr:row>0</xdr:row>
      <xdr:rowOff>41413</xdr:rowOff>
    </xdr:from>
    <xdr:to>
      <xdr:col>0</xdr:col>
      <xdr:colOff>1583501</xdr:colOff>
      <xdr:row>1</xdr:row>
      <xdr:rowOff>2551</xdr:rowOff>
    </xdr:to>
    <xdr:pic>
      <xdr:nvPicPr>
        <xdr:cNvPr id="8" name="Picture 7" descr="http://capitalbusiness.me/files/2012/05/DEL_COL.jpg">
          <a:extLst>
            <a:ext uri="{FF2B5EF4-FFF2-40B4-BE49-F238E27FC236}">
              <a16:creationId xmlns:a16="http://schemas.microsoft.com/office/drawing/2014/main" id="{00000000-0008-0000-0800-00000800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848" y="41413"/>
          <a:ext cx="1619613" cy="3326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6"/>
  <sheetViews>
    <sheetView workbookViewId="0">
      <selection activeCell="T20" sqref="T20"/>
    </sheetView>
  </sheetViews>
  <sheetFormatPr baseColWidth="10" defaultColWidth="9.33203125" defaultRowHeight="13" x14ac:dyDescent="0.15"/>
  <cols>
    <col min="1" max="16384" width="9.33203125" style="15"/>
  </cols>
  <sheetData>
    <row r="26" spans="1:1" x14ac:dyDescent="0.15">
      <c r="A26" s="15" t="s">
        <v>10</v>
      </c>
    </row>
  </sheetData>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8"/>
  <sheetViews>
    <sheetView zoomScale="130" zoomScaleNormal="130" workbookViewId="0">
      <selection activeCell="C4" sqref="C4"/>
    </sheetView>
  </sheetViews>
  <sheetFormatPr baseColWidth="10" defaultColWidth="8.6640625" defaultRowHeight="15" x14ac:dyDescent="0.2"/>
  <cols>
    <col min="1" max="1" width="26.33203125" customWidth="1"/>
    <col min="2" max="2" width="12.33203125" style="16" customWidth="1"/>
    <col min="3" max="3" width="99.33203125" style="16" customWidth="1"/>
  </cols>
  <sheetData>
    <row r="1" spans="1:3" s="27" customFormat="1" ht="29.25" customHeight="1" x14ac:dyDescent="0.2">
      <c r="A1" s="26"/>
      <c r="B1" s="56"/>
      <c r="C1" s="56"/>
    </row>
    <row r="2" spans="1:3" ht="18" x14ac:dyDescent="0.2">
      <c r="A2" s="28" t="s">
        <v>46</v>
      </c>
      <c r="B2" s="57"/>
      <c r="C2" s="57"/>
    </row>
    <row r="3" spans="1:3" x14ac:dyDescent="0.2">
      <c r="A3" s="29" t="s">
        <v>6</v>
      </c>
      <c r="B3" s="58"/>
      <c r="C3" s="30" t="s">
        <v>18</v>
      </c>
    </row>
    <row r="4" spans="1:3" s="31" customFormat="1" ht="51.75" customHeight="1" x14ac:dyDescent="0.2">
      <c r="A4" s="52" t="s">
        <v>7</v>
      </c>
      <c r="B4" s="59">
        <v>0</v>
      </c>
      <c r="C4" s="64" t="s">
        <v>19</v>
      </c>
    </row>
    <row r="5" spans="1:3" s="31" customFormat="1" ht="142.5" customHeight="1" x14ac:dyDescent="0.2">
      <c r="A5" s="53" t="s">
        <v>29</v>
      </c>
      <c r="B5" s="60">
        <v>1</v>
      </c>
      <c r="C5" s="65" t="s">
        <v>30</v>
      </c>
    </row>
    <row r="6" spans="1:3" s="31" customFormat="1" ht="141" customHeight="1" x14ac:dyDescent="0.2">
      <c r="A6" s="54" t="s">
        <v>31</v>
      </c>
      <c r="B6" s="61">
        <v>2</v>
      </c>
      <c r="C6" s="66" t="s">
        <v>32</v>
      </c>
    </row>
    <row r="7" spans="1:3" s="31" customFormat="1" ht="154.5" customHeight="1" x14ac:dyDescent="0.2">
      <c r="A7" s="55" t="s">
        <v>34</v>
      </c>
      <c r="B7" s="62">
        <v>3</v>
      </c>
      <c r="C7" s="67" t="s">
        <v>33</v>
      </c>
    </row>
    <row r="8" spans="1:3" s="31" customFormat="1" ht="157.5" customHeight="1" x14ac:dyDescent="0.2">
      <c r="A8" s="76" t="s">
        <v>36</v>
      </c>
      <c r="B8" s="77">
        <v>4</v>
      </c>
      <c r="C8" s="78" t="s">
        <v>35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67"/>
  <sheetViews>
    <sheetView tabSelected="1" zoomScaleNormal="100" workbookViewId="0">
      <selection activeCell="D1" sqref="D1"/>
    </sheetView>
  </sheetViews>
  <sheetFormatPr baseColWidth="10" defaultColWidth="8.6640625" defaultRowHeight="15" x14ac:dyDescent="0.2"/>
  <cols>
    <col min="1" max="1" width="2" style="16" customWidth="1"/>
    <col min="2" max="2" width="33.6640625" bestFit="1" customWidth="1"/>
    <col min="3" max="3" width="17.6640625" style="16" customWidth="1"/>
    <col min="4" max="5" width="21.5" style="16" customWidth="1"/>
    <col min="6" max="6" width="17.6640625" style="16" customWidth="1"/>
    <col min="7" max="7" width="14.6640625" bestFit="1" customWidth="1"/>
    <col min="8" max="8" width="15.6640625" bestFit="1" customWidth="1"/>
    <col min="9" max="9" width="19.33203125" customWidth="1"/>
    <col min="10" max="10" width="14.5" customWidth="1"/>
  </cols>
  <sheetData>
    <row r="1" spans="1:7" s="27" customFormat="1" ht="29.25" customHeight="1" x14ac:dyDescent="0.2">
      <c r="A1" s="33"/>
      <c r="B1" s="32"/>
    </row>
    <row r="2" spans="1:7" x14ac:dyDescent="0.2">
      <c r="B2" s="17" t="s">
        <v>43</v>
      </c>
      <c r="C2" s="17"/>
      <c r="D2" s="17"/>
      <c r="E2" s="17"/>
      <c r="F2" s="17"/>
    </row>
    <row r="3" spans="1:7" ht="12.75" customHeight="1" x14ac:dyDescent="0.2"/>
    <row r="4" spans="1:7" x14ac:dyDescent="0.2">
      <c r="A4" s="18"/>
      <c r="B4" s="50" t="s">
        <v>44</v>
      </c>
      <c r="C4" s="51" t="s">
        <v>41</v>
      </c>
      <c r="D4" s="51" t="s">
        <v>42</v>
      </c>
      <c r="E4" s="51" t="s">
        <v>3</v>
      </c>
      <c r="F4" s="51" t="s">
        <v>45</v>
      </c>
    </row>
    <row r="5" spans="1:7" x14ac:dyDescent="0.2">
      <c r="A5" s="16">
        <v>1</v>
      </c>
      <c r="B5" s="19" t="s">
        <v>487</v>
      </c>
      <c r="C5" s="20">
        <f>'1-PREPARATION (PR)'!E5</f>
        <v>2.65</v>
      </c>
      <c r="D5" s="20">
        <f>'1-PREPARATION (PR)'!F5</f>
        <v>4</v>
      </c>
      <c r="E5" s="125">
        <f>'1-PREPARATION (PR)'!G5</f>
        <v>0.66249999999999998</v>
      </c>
      <c r="F5" s="21">
        <v>4</v>
      </c>
    </row>
    <row r="6" spans="1:7" x14ac:dyDescent="0.2">
      <c r="A6" s="16">
        <v>2</v>
      </c>
      <c r="B6" s="22" t="s">
        <v>578</v>
      </c>
      <c r="C6" s="23">
        <f>'2-DETECTION &amp; ANALYSIS (DA)'!E5</f>
        <v>2.1163961038961041</v>
      </c>
      <c r="D6" s="23">
        <f>'2-DETECTION &amp; ANALYSIS (DA)'!F5</f>
        <v>4</v>
      </c>
      <c r="E6" s="124">
        <f>'2-DETECTION &amp; ANALYSIS (DA)'!G5</f>
        <v>0.52909902597402603</v>
      </c>
      <c r="F6" s="24">
        <v>4</v>
      </c>
    </row>
    <row r="7" spans="1:7" x14ac:dyDescent="0.2">
      <c r="A7" s="16">
        <v>3</v>
      </c>
      <c r="B7" s="19" t="s">
        <v>579</v>
      </c>
      <c r="C7" s="25">
        <f>'3-C,E &amp; R (CER)'!E5</f>
        <v>2.25</v>
      </c>
      <c r="D7" s="25">
        <f>'3-C,E &amp; R (CER)'!F5</f>
        <v>4</v>
      </c>
      <c r="E7" s="126">
        <f>'3-C,E &amp; R (CER)'!G5</f>
        <v>0.5625</v>
      </c>
      <c r="F7" s="21">
        <v>4</v>
      </c>
    </row>
    <row r="8" spans="1:7" x14ac:dyDescent="0.2">
      <c r="A8" s="16">
        <v>4</v>
      </c>
      <c r="B8" s="22" t="s">
        <v>580</v>
      </c>
      <c r="C8" s="23">
        <f>'4-POST INCIDENT ACTIVITY (PIA)'!E5</f>
        <v>2.25</v>
      </c>
      <c r="D8" s="23">
        <f>'4-POST INCIDENT ACTIVITY (PIA)'!F5</f>
        <v>4</v>
      </c>
      <c r="E8" s="124">
        <f>'4-POST INCIDENT ACTIVITY (PIA)'!G5</f>
        <v>0.5625</v>
      </c>
      <c r="F8" s="24">
        <v>4</v>
      </c>
    </row>
    <row r="11" spans="1:7" x14ac:dyDescent="0.2">
      <c r="F11" s="185" t="s">
        <v>40</v>
      </c>
      <c r="G11" s="186"/>
    </row>
    <row r="12" spans="1:7" x14ac:dyDescent="0.2">
      <c r="F12" s="112" t="s">
        <v>4</v>
      </c>
      <c r="G12" s="113" t="s">
        <v>5</v>
      </c>
    </row>
    <row r="13" spans="1:7" x14ac:dyDescent="0.2">
      <c r="F13" s="114" t="s">
        <v>23</v>
      </c>
      <c r="G13" s="115">
        <v>0</v>
      </c>
    </row>
    <row r="14" spans="1:7" x14ac:dyDescent="0.2">
      <c r="F14" s="116" t="s">
        <v>27</v>
      </c>
      <c r="G14" s="117">
        <v>1</v>
      </c>
    </row>
    <row r="15" spans="1:7" x14ac:dyDescent="0.2">
      <c r="F15" s="118" t="s">
        <v>26</v>
      </c>
      <c r="G15" s="119">
        <v>2</v>
      </c>
    </row>
    <row r="16" spans="1:7" x14ac:dyDescent="0.2">
      <c r="F16" s="120" t="s">
        <v>25</v>
      </c>
      <c r="G16" s="121">
        <v>3</v>
      </c>
    </row>
    <row r="17" spans="2:8" x14ac:dyDescent="0.2">
      <c r="F17" s="122" t="s">
        <v>24</v>
      </c>
      <c r="G17" s="123">
        <v>4</v>
      </c>
    </row>
    <row r="27" spans="2:8" x14ac:dyDescent="0.2">
      <c r="B27" s="50" t="s">
        <v>48</v>
      </c>
      <c r="C27" s="51" t="s">
        <v>41</v>
      </c>
      <c r="D27" s="51" t="s">
        <v>3</v>
      </c>
      <c r="E27"/>
      <c r="F27"/>
    </row>
    <row r="28" spans="2:8" x14ac:dyDescent="0.2">
      <c r="B28" s="95" t="s">
        <v>534</v>
      </c>
      <c r="C28" s="20">
        <f>'1-PREPARATION (PR)'!E6</f>
        <v>2.5</v>
      </c>
      <c r="D28" s="125">
        <f>'1-PREPARATION (PR)'!G6</f>
        <v>0.625</v>
      </c>
      <c r="E28"/>
      <c r="F28"/>
    </row>
    <row r="29" spans="2:8" x14ac:dyDescent="0.2">
      <c r="B29" s="93" t="s">
        <v>535</v>
      </c>
      <c r="C29" s="23">
        <f>'1-PREPARATION (PR)'!E13</f>
        <v>2.8</v>
      </c>
      <c r="D29" s="124">
        <f>'1-PREPARATION (PR)'!G13</f>
        <v>0.7</v>
      </c>
      <c r="E29"/>
      <c r="F29"/>
    </row>
    <row r="30" spans="2:8" x14ac:dyDescent="0.2">
      <c r="B30" s="97" t="s">
        <v>495</v>
      </c>
      <c r="C30" s="25">
        <f>'2-DETECTION &amp; ANALYSIS (DA)'!E6</f>
        <v>1.875</v>
      </c>
      <c r="D30" s="126">
        <f>'2-DETECTION &amp; ANALYSIS (DA)'!G6</f>
        <v>0.46875</v>
      </c>
      <c r="E30"/>
      <c r="F30"/>
    </row>
    <row r="31" spans="2:8" x14ac:dyDescent="0.2">
      <c r="B31" s="97" t="s">
        <v>496</v>
      </c>
      <c r="C31" s="23">
        <f>'2-DETECTION &amp; ANALYSIS (DA)'!E15</f>
        <v>2</v>
      </c>
      <c r="D31" s="124">
        <f>'2-DETECTION &amp; ANALYSIS (DA)'!G15</f>
        <v>0.5</v>
      </c>
      <c r="E31"/>
      <c r="F31"/>
    </row>
    <row r="32" spans="2:8" x14ac:dyDescent="0.2">
      <c r="B32" s="97" t="s">
        <v>497</v>
      </c>
      <c r="C32" s="20">
        <f>'2-DETECTION &amp; ANALYSIS (DA)'!E18</f>
        <v>1.7142857142857142</v>
      </c>
      <c r="D32" s="125">
        <f>'2-DETECTION &amp; ANALYSIS (DA)'!G18</f>
        <v>0.42857142857142855</v>
      </c>
      <c r="E32"/>
      <c r="F32"/>
      <c r="G32" s="16"/>
      <c r="H32" s="16"/>
    </row>
    <row r="33" spans="2:6" x14ac:dyDescent="0.2">
      <c r="B33" s="97" t="s">
        <v>498</v>
      </c>
      <c r="C33" s="23">
        <f>'2-DETECTION &amp; ANALYSIS (DA)'!E6</f>
        <v>1.875</v>
      </c>
      <c r="D33" s="124">
        <f>'2-DETECTION &amp; ANALYSIS (DA)'!G6</f>
        <v>0.46875</v>
      </c>
      <c r="E33"/>
      <c r="F33"/>
    </row>
    <row r="34" spans="2:6" x14ac:dyDescent="0.2">
      <c r="B34" s="97" t="s">
        <v>499</v>
      </c>
      <c r="C34" s="20">
        <f>'2-DETECTION &amp; ANALYSIS (DA)'!E15</f>
        <v>2</v>
      </c>
      <c r="D34" s="125">
        <f>'2-DETECTION &amp; ANALYSIS (DA)'!G15</f>
        <v>0.5</v>
      </c>
      <c r="E34"/>
      <c r="F34"/>
    </row>
    <row r="35" spans="2:6" x14ac:dyDescent="0.2">
      <c r="B35" s="97" t="s">
        <v>500</v>
      </c>
      <c r="C35" s="23">
        <f>'2-DETECTION &amp; ANALYSIS (DA)'!E18</f>
        <v>1.7142857142857142</v>
      </c>
      <c r="D35" s="124">
        <f>'2-DETECTION &amp; ANALYSIS (DA)'!G18</f>
        <v>0.42857142857142855</v>
      </c>
      <c r="E35"/>
      <c r="F35"/>
    </row>
    <row r="36" spans="2:6" x14ac:dyDescent="0.2">
      <c r="B36" s="97" t="s">
        <v>501</v>
      </c>
      <c r="C36" s="20">
        <f>'2-DETECTION &amp; ANALYSIS (DA)'!E29</f>
        <v>2.2000000000000002</v>
      </c>
      <c r="D36" s="125">
        <f>'2-DETECTION &amp; ANALYSIS (DA)'!G29</f>
        <v>0.55000000000000004</v>
      </c>
      <c r="E36"/>
      <c r="F36"/>
    </row>
    <row r="37" spans="2:6" x14ac:dyDescent="0.2">
      <c r="B37" s="48" t="s">
        <v>553</v>
      </c>
      <c r="C37" s="23">
        <f>'2-DETECTION &amp; ANALYSIS (DA)'!E40</f>
        <v>2.9090909090909092</v>
      </c>
      <c r="D37" s="124">
        <f>'2-DETECTION &amp; ANALYSIS (DA)'!G40</f>
        <v>0.72727272727272729</v>
      </c>
      <c r="E37"/>
      <c r="F37"/>
    </row>
    <row r="38" spans="2:6" x14ac:dyDescent="0.2">
      <c r="B38" s="97" t="s">
        <v>556</v>
      </c>
      <c r="C38" s="20">
        <f>'2-DETECTION &amp; ANALYSIS (DA)'!E52</f>
        <v>2</v>
      </c>
      <c r="D38" s="125">
        <f>'2-DETECTION &amp; ANALYSIS (DA)'!G52</f>
        <v>0.5</v>
      </c>
      <c r="E38"/>
      <c r="F38"/>
    </row>
    <row r="39" spans="2:6" x14ac:dyDescent="0.2">
      <c r="B39" s="97" t="s">
        <v>559</v>
      </c>
      <c r="C39" s="23">
        <f>'3-C,E &amp; R (CER)'!E6</f>
        <v>3.5</v>
      </c>
      <c r="D39" s="124">
        <f>'3-C,E &amp; R (CER)'!G6</f>
        <v>0.875</v>
      </c>
      <c r="E39"/>
      <c r="F39"/>
    </row>
    <row r="40" spans="2:6" x14ac:dyDescent="0.2">
      <c r="B40" s="97" t="s">
        <v>585</v>
      </c>
      <c r="C40" s="20">
        <f>'3-C,E &amp; R (CER)'!E9</f>
        <v>1</v>
      </c>
      <c r="D40" s="125">
        <f>'3-C,E &amp; R (CER)'!G9</f>
        <v>0.25</v>
      </c>
      <c r="E40"/>
      <c r="F40"/>
    </row>
    <row r="41" spans="2:6" x14ac:dyDescent="0.2">
      <c r="B41" s="97" t="s">
        <v>567</v>
      </c>
      <c r="C41" s="23">
        <f>'3-C,E &amp; R (CER)'!E12</f>
        <v>2.5</v>
      </c>
      <c r="D41" s="124">
        <f>'3-C,E &amp; R (CER)'!G12</f>
        <v>0.625</v>
      </c>
      <c r="E41"/>
      <c r="F41"/>
    </row>
    <row r="42" spans="2:6" x14ac:dyDescent="0.2">
      <c r="B42" s="97" t="s">
        <v>568</v>
      </c>
      <c r="C42" s="20">
        <f>'4-POST INCIDENT ACTIVITY (PIA)'!E6</f>
        <v>2</v>
      </c>
      <c r="D42" s="125">
        <f>'4-POST INCIDENT ACTIVITY (PIA)'!G6</f>
        <v>0.5</v>
      </c>
      <c r="E42"/>
      <c r="F42"/>
    </row>
    <row r="43" spans="2:6" x14ac:dyDescent="0.2">
      <c r="B43" s="97" t="s">
        <v>584</v>
      </c>
      <c r="C43" s="23">
        <f>'4-POST INCIDENT ACTIVITY (PIA)'!E9</f>
        <v>1.75</v>
      </c>
      <c r="D43" s="124">
        <f>'4-POST INCIDENT ACTIVITY (PIA)'!G9</f>
        <v>0.4375</v>
      </c>
      <c r="E43"/>
      <c r="F43"/>
    </row>
    <row r="50" spans="1:9" ht="34" x14ac:dyDescent="0.2">
      <c r="B50" s="168" t="s">
        <v>48</v>
      </c>
      <c r="C50" s="167" t="s">
        <v>599</v>
      </c>
      <c r="D50" s="167" t="s">
        <v>600</v>
      </c>
      <c r="E50" s="167" t="s">
        <v>601</v>
      </c>
      <c r="F50" s="167" t="s">
        <v>602</v>
      </c>
      <c r="G50" s="180" t="s">
        <v>606</v>
      </c>
      <c r="H50" s="181" t="s">
        <v>607</v>
      </c>
      <c r="I50" s="181" t="s">
        <v>608</v>
      </c>
    </row>
    <row r="51" spans="1:9" ht="16" x14ac:dyDescent="0.2">
      <c r="A51" s="187"/>
      <c r="B51" s="169" t="s">
        <v>534</v>
      </c>
      <c r="C51" s="170">
        <v>2.5</v>
      </c>
      <c r="D51" s="171" t="s">
        <v>605</v>
      </c>
      <c r="E51" s="170">
        <v>2.75</v>
      </c>
      <c r="F51" s="170">
        <v>3</v>
      </c>
      <c r="G51" s="178">
        <v>2.8</v>
      </c>
      <c r="H51" s="178">
        <v>6</v>
      </c>
      <c r="I51" s="178">
        <v>3</v>
      </c>
    </row>
    <row r="52" spans="1:9" ht="16" x14ac:dyDescent="0.2">
      <c r="A52" s="187"/>
      <c r="B52" s="172" t="s">
        <v>535</v>
      </c>
      <c r="C52" s="173">
        <v>2.8</v>
      </c>
      <c r="D52" s="174" t="s">
        <v>603</v>
      </c>
      <c r="E52" s="173">
        <v>2.9</v>
      </c>
      <c r="F52" s="173">
        <v>3</v>
      </c>
      <c r="G52" s="179">
        <v>3.1</v>
      </c>
      <c r="H52" s="179">
        <v>5</v>
      </c>
      <c r="I52" s="179">
        <v>1</v>
      </c>
    </row>
    <row r="53" spans="1:9" ht="16" x14ac:dyDescent="0.2">
      <c r="A53" s="188"/>
      <c r="B53" s="169" t="s">
        <v>495</v>
      </c>
      <c r="C53" s="175">
        <v>1.875</v>
      </c>
      <c r="D53" s="176" t="s">
        <v>604</v>
      </c>
      <c r="E53" s="175">
        <v>2.5</v>
      </c>
      <c r="F53" s="175">
        <v>3</v>
      </c>
      <c r="G53" s="178">
        <v>2.82</v>
      </c>
      <c r="H53" s="178">
        <v>8</v>
      </c>
      <c r="I53" s="178">
        <v>4</v>
      </c>
    </row>
    <row r="54" spans="1:9" ht="16" x14ac:dyDescent="0.2">
      <c r="A54" s="188"/>
      <c r="B54" s="169" t="s">
        <v>496</v>
      </c>
      <c r="C54" s="173">
        <v>2</v>
      </c>
      <c r="D54" s="174" t="s">
        <v>604</v>
      </c>
      <c r="E54" s="173">
        <v>2.5</v>
      </c>
      <c r="F54" s="173">
        <v>3</v>
      </c>
      <c r="G54" s="179">
        <v>3.7</v>
      </c>
      <c r="H54" s="179">
        <v>2</v>
      </c>
      <c r="I54" s="179">
        <v>2</v>
      </c>
    </row>
    <row r="55" spans="1:9" ht="16" x14ac:dyDescent="0.2">
      <c r="A55" s="188"/>
      <c r="B55" s="169" t="s">
        <v>497</v>
      </c>
      <c r="C55" s="170">
        <v>1.7142857142857142</v>
      </c>
      <c r="D55" s="171" t="s">
        <v>604</v>
      </c>
      <c r="E55" s="170">
        <v>2.5</v>
      </c>
      <c r="F55" s="175">
        <v>3</v>
      </c>
      <c r="G55" s="178">
        <v>3</v>
      </c>
      <c r="H55" s="178">
        <v>10</v>
      </c>
      <c r="I55" s="178">
        <v>7</v>
      </c>
    </row>
    <row r="56" spans="1:9" ht="16" x14ac:dyDescent="0.2">
      <c r="A56" s="188"/>
      <c r="B56" s="169" t="s">
        <v>498</v>
      </c>
      <c r="C56" s="173">
        <v>1.875</v>
      </c>
      <c r="D56" s="174" t="s">
        <v>604</v>
      </c>
      <c r="E56" s="173">
        <v>2.5</v>
      </c>
      <c r="F56" s="173">
        <v>3</v>
      </c>
      <c r="G56" s="179">
        <v>3.7</v>
      </c>
      <c r="H56" s="179">
        <v>10</v>
      </c>
      <c r="I56" s="179">
        <v>10</v>
      </c>
    </row>
    <row r="57" spans="1:9" ht="16" x14ac:dyDescent="0.2">
      <c r="A57" s="188"/>
      <c r="B57" s="169" t="s">
        <v>499</v>
      </c>
      <c r="C57" s="170">
        <v>2</v>
      </c>
      <c r="D57" s="171" t="s">
        <v>604</v>
      </c>
      <c r="E57" s="170">
        <v>2.5</v>
      </c>
      <c r="F57" s="175">
        <v>3</v>
      </c>
      <c r="G57" s="178">
        <v>3.7</v>
      </c>
      <c r="H57" s="178">
        <v>11</v>
      </c>
      <c r="I57" s="178">
        <v>11</v>
      </c>
    </row>
    <row r="58" spans="1:9" ht="16" x14ac:dyDescent="0.2">
      <c r="A58" s="188"/>
      <c r="B58" s="169" t="s">
        <v>500</v>
      </c>
      <c r="C58" s="173">
        <v>1.7142857142857142</v>
      </c>
      <c r="D58" s="174" t="s">
        <v>604</v>
      </c>
      <c r="E58" s="173">
        <v>2.5</v>
      </c>
      <c r="F58" s="173">
        <v>3</v>
      </c>
      <c r="G58" s="179">
        <v>3.7</v>
      </c>
      <c r="H58" s="179">
        <v>1</v>
      </c>
      <c r="I58" s="179">
        <v>1</v>
      </c>
    </row>
    <row r="59" spans="1:9" ht="16" x14ac:dyDescent="0.2">
      <c r="A59" s="188"/>
      <c r="B59" s="169" t="s">
        <v>501</v>
      </c>
      <c r="C59" s="170">
        <v>2.2000000000000002</v>
      </c>
      <c r="D59" s="171" t="s">
        <v>604</v>
      </c>
      <c r="E59" s="170">
        <v>2.5</v>
      </c>
      <c r="F59" s="175">
        <v>3</v>
      </c>
      <c r="G59" s="178">
        <v>3.7</v>
      </c>
      <c r="H59" s="178">
        <v>1</v>
      </c>
      <c r="I59" s="178">
        <v>1</v>
      </c>
    </row>
    <row r="60" spans="1:9" ht="16" x14ac:dyDescent="0.2">
      <c r="A60" s="189"/>
      <c r="B60" s="169" t="s">
        <v>553</v>
      </c>
      <c r="C60" s="173">
        <v>2.9090909090909092</v>
      </c>
      <c r="D60" s="174" t="s">
        <v>604</v>
      </c>
      <c r="E60" s="173">
        <v>2.5</v>
      </c>
      <c r="F60" s="173">
        <v>3</v>
      </c>
      <c r="G60" s="179">
        <v>3.7</v>
      </c>
      <c r="H60" s="179">
        <v>2</v>
      </c>
      <c r="I60" s="179">
        <v>2</v>
      </c>
    </row>
    <row r="61" spans="1:9" ht="16" x14ac:dyDescent="0.2">
      <c r="A61" s="189"/>
      <c r="B61" s="169" t="s">
        <v>556</v>
      </c>
      <c r="C61" s="170">
        <v>2</v>
      </c>
      <c r="D61" s="171" t="s">
        <v>604</v>
      </c>
      <c r="E61" s="170">
        <v>2.5</v>
      </c>
      <c r="F61" s="175">
        <v>3</v>
      </c>
      <c r="G61" s="178">
        <v>3.7</v>
      </c>
      <c r="H61" s="178">
        <v>2</v>
      </c>
      <c r="I61" s="178">
        <v>2</v>
      </c>
    </row>
    <row r="62" spans="1:9" ht="16" x14ac:dyDescent="0.2">
      <c r="A62" s="189"/>
      <c r="B62" s="169" t="s">
        <v>559</v>
      </c>
      <c r="C62" s="173">
        <v>3.5</v>
      </c>
      <c r="D62" s="174" t="s">
        <v>604</v>
      </c>
      <c r="E62" s="173">
        <v>2.5</v>
      </c>
      <c r="F62" s="173">
        <v>3</v>
      </c>
      <c r="G62" s="179">
        <v>3.7</v>
      </c>
      <c r="H62" s="179">
        <v>4</v>
      </c>
      <c r="I62" s="179">
        <v>4</v>
      </c>
    </row>
    <row r="63" spans="1:9" ht="16" x14ac:dyDescent="0.2">
      <c r="A63" s="189"/>
      <c r="B63" s="169" t="s">
        <v>585</v>
      </c>
      <c r="C63" s="170">
        <v>1</v>
      </c>
      <c r="D63" s="171" t="s">
        <v>605</v>
      </c>
      <c r="E63" s="170">
        <v>1.5</v>
      </c>
      <c r="F63" s="170">
        <v>2</v>
      </c>
      <c r="G63" s="178">
        <v>2.2999999999999998</v>
      </c>
      <c r="H63" s="178">
        <v>2</v>
      </c>
      <c r="I63" s="178">
        <v>1</v>
      </c>
    </row>
    <row r="64" spans="1:9" ht="16" x14ac:dyDescent="0.2">
      <c r="A64" s="190"/>
      <c r="B64" s="169" t="s">
        <v>567</v>
      </c>
      <c r="C64" s="173">
        <v>2.5</v>
      </c>
      <c r="D64" s="174" t="s">
        <v>604</v>
      </c>
      <c r="E64" s="173">
        <v>2.75</v>
      </c>
      <c r="F64" s="173">
        <v>3</v>
      </c>
      <c r="G64" s="179">
        <v>3.7</v>
      </c>
      <c r="H64" s="182">
        <v>2</v>
      </c>
      <c r="I64" s="179">
        <v>2</v>
      </c>
    </row>
    <row r="65" spans="1:10" ht="16" x14ac:dyDescent="0.2">
      <c r="A65" s="190"/>
      <c r="B65" s="169" t="s">
        <v>568</v>
      </c>
      <c r="C65" s="170">
        <v>2</v>
      </c>
      <c r="D65" s="171" t="s">
        <v>604</v>
      </c>
      <c r="E65" s="170">
        <v>2.5</v>
      </c>
      <c r="F65" s="175">
        <v>3</v>
      </c>
      <c r="G65" s="178">
        <v>3.7</v>
      </c>
      <c r="H65" s="183">
        <v>4</v>
      </c>
      <c r="I65" s="178">
        <v>4</v>
      </c>
    </row>
    <row r="66" spans="1:10" ht="16" x14ac:dyDescent="0.2">
      <c r="A66" s="190"/>
      <c r="B66" s="169" t="s">
        <v>584</v>
      </c>
      <c r="C66" s="173">
        <v>1.75</v>
      </c>
      <c r="D66" s="174" t="s">
        <v>604</v>
      </c>
      <c r="E66" s="173">
        <v>2.5</v>
      </c>
      <c r="F66" s="173">
        <v>3</v>
      </c>
      <c r="G66" s="179">
        <v>3.7</v>
      </c>
      <c r="H66" s="182">
        <v>2</v>
      </c>
      <c r="I66" s="179">
        <v>2</v>
      </c>
    </row>
    <row r="67" spans="1:10" x14ac:dyDescent="0.2">
      <c r="C67" s="177">
        <f>SUM(C51:C66)/16</f>
        <v>2.1461038961038961</v>
      </c>
      <c r="E67" s="177">
        <f>SUM(E51:E66)/16</f>
        <v>2.4937499999999999</v>
      </c>
      <c r="F67" s="177">
        <f>SUM(F51:F66)/16</f>
        <v>2.9375</v>
      </c>
      <c r="G67" s="177">
        <f>SUM(G51:G66)/16</f>
        <v>3.4200000000000008</v>
      </c>
      <c r="H67" s="184">
        <f>SUM(H51:H66)</f>
        <v>72</v>
      </c>
      <c r="I67" s="184">
        <f>SUM(I51:I66)</f>
        <v>57</v>
      </c>
      <c r="J67">
        <f>I67/H67</f>
        <v>0.79166666666666663</v>
      </c>
    </row>
  </sheetData>
  <mergeCells count="5">
    <mergeCell ref="F11:G11"/>
    <mergeCell ref="A51:A52"/>
    <mergeCell ref="A53:A59"/>
    <mergeCell ref="A60:A63"/>
    <mergeCell ref="A64:A66"/>
  </mergeCells>
  <hyperlinks>
    <hyperlink ref="B5" location="'1-PREPARATION (PR)'!A1" display="IDENTIFY (ID)" xr:uid="{B62E1331-C6F0-4125-AED3-025064034351}"/>
    <hyperlink ref="B6" location="'2-DETECTION &amp; ANALYSIS (DA)'!A1" display="DETECTION &amp; ANALYSIS (DA)" xr:uid="{6801DD33-08D2-44E0-9711-307F340817CE}"/>
    <hyperlink ref="B7" location="'3-C,E &amp; R (CER)'!A1" display="CONTAINMENT, ERADICATOIN &amp; RECOVERY (CER)" xr:uid="{36211D0C-5455-462B-B7F4-32AAD34BFAB5}"/>
    <hyperlink ref="B8" location="'4-POST INCIDENT ACTIVITY (PIA)'!A1" display="POST INCIDENT ACTIVITY (PIA)" xr:uid="{28FD3059-7A60-4368-92BB-1FADAF02EA4D}"/>
  </hyperlinks>
  <pageMargins left="0.7" right="0.7" top="0.75" bottom="0.75" header="0.3" footer="0.3"/>
  <pageSetup scale="4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pageSetUpPr fitToPage="1"/>
  </sheetPr>
  <dimension ref="A1:H140"/>
  <sheetViews>
    <sheetView view="pageBreakPreview" zoomScaleNormal="90" zoomScaleSheetLayoutView="100" workbookViewId="0">
      <pane ySplit="5" topLeftCell="A6" activePane="bottomLeft" state="frozen"/>
      <selection pane="bottomLeft" activeCell="C23" sqref="C23"/>
    </sheetView>
  </sheetViews>
  <sheetFormatPr baseColWidth="10" defaultColWidth="30.5" defaultRowHeight="14" outlineLevelRow="2" x14ac:dyDescent="0.2"/>
  <cols>
    <col min="1" max="1" width="30.5" style="1"/>
    <col min="2" max="2" width="56.5" style="1" customWidth="1"/>
    <col min="3" max="3" width="26.5" style="1" customWidth="1"/>
    <col min="4" max="4" width="21.6640625" style="2" bestFit="1" customWidth="1"/>
    <col min="5" max="5" width="18.5" style="1" bestFit="1" customWidth="1"/>
    <col min="6" max="6" width="17.5" style="3" bestFit="1" customWidth="1"/>
    <col min="7" max="7" width="17.6640625" style="2" bestFit="1" customWidth="1"/>
    <col min="8" max="8" width="30.5" style="2"/>
    <col min="9" max="16384" width="30.5" style="1"/>
  </cols>
  <sheetData>
    <row r="1" spans="1:8" s="27" customFormat="1" ht="35" customHeight="1" x14ac:dyDescent="0.2">
      <c r="A1" s="33"/>
      <c r="B1" s="33"/>
      <c r="C1" s="32"/>
      <c r="D1" s="150"/>
    </row>
    <row r="2" spans="1:8" s="34" customFormat="1" ht="19" x14ac:dyDescent="0.2">
      <c r="A2" s="195" t="s">
        <v>49</v>
      </c>
      <c r="B2" s="195"/>
      <c r="C2" s="195"/>
      <c r="D2" s="151"/>
      <c r="E2" s="35"/>
      <c r="F2" s="35"/>
      <c r="G2" s="35"/>
      <c r="H2" s="35"/>
    </row>
    <row r="3" spans="1:8" ht="15" x14ac:dyDescent="0.2">
      <c r="A3" s="191" t="s">
        <v>37</v>
      </c>
      <c r="B3" s="192"/>
      <c r="C3" s="193"/>
      <c r="D3" s="193"/>
      <c r="E3" s="193"/>
      <c r="F3" s="193"/>
      <c r="G3" s="193"/>
      <c r="H3" s="194"/>
    </row>
    <row r="4" spans="1:8" s="70" customFormat="1" ht="30" x14ac:dyDescent="0.2">
      <c r="A4" s="68" t="s">
        <v>0</v>
      </c>
      <c r="B4" s="68" t="s">
        <v>1</v>
      </c>
      <c r="C4" s="68" t="s">
        <v>28</v>
      </c>
      <c r="D4" s="69" t="s">
        <v>9</v>
      </c>
      <c r="E4" s="69" t="s">
        <v>21</v>
      </c>
      <c r="F4" s="69" t="s">
        <v>22</v>
      </c>
      <c r="G4" s="69" t="s">
        <v>2</v>
      </c>
    </row>
    <row r="5" spans="1:8" ht="15" x14ac:dyDescent="0.2">
      <c r="A5" s="36" t="s">
        <v>503</v>
      </c>
      <c r="B5" s="37"/>
      <c r="C5" s="38"/>
      <c r="D5" s="39"/>
      <c r="E5" s="105">
        <f>AVERAGE(E6,E13)</f>
        <v>2.65</v>
      </c>
      <c r="F5" s="72">
        <v>4</v>
      </c>
      <c r="G5" s="40">
        <f>E5/F5</f>
        <v>0.66249999999999998</v>
      </c>
      <c r="H5" s="1"/>
    </row>
    <row r="6" spans="1:8" ht="15" outlineLevel="1" x14ac:dyDescent="0.2">
      <c r="A6" s="95" t="s">
        <v>534</v>
      </c>
      <c r="B6" s="196"/>
      <c r="C6" s="196"/>
      <c r="D6" s="197"/>
      <c r="E6" s="96">
        <f>AVERAGE(E7:E12)</f>
        <v>2.5</v>
      </c>
      <c r="F6" s="96">
        <v>4</v>
      </c>
      <c r="G6" s="100">
        <f>E6/F6</f>
        <v>0.625</v>
      </c>
      <c r="H6" s="1"/>
    </row>
    <row r="7" spans="1:8" ht="15" outlineLevel="1" x14ac:dyDescent="0.2">
      <c r="A7" s="94"/>
      <c r="B7" s="86" t="s">
        <v>38</v>
      </c>
      <c r="C7" s="86"/>
      <c r="D7" s="152"/>
      <c r="E7" s="106">
        <v>2</v>
      </c>
      <c r="F7" s="88">
        <v>4</v>
      </c>
      <c r="G7" s="89">
        <f>E7/F7</f>
        <v>0.5</v>
      </c>
      <c r="H7" s="1">
        <v>2</v>
      </c>
    </row>
    <row r="8" spans="1:8" ht="15" outlineLevel="2" x14ac:dyDescent="0.2">
      <c r="A8" s="81"/>
      <c r="B8" s="80" t="s">
        <v>39</v>
      </c>
      <c r="C8" s="86"/>
      <c r="D8" s="152"/>
      <c r="E8" s="107">
        <v>2</v>
      </c>
      <c r="F8" s="42">
        <v>4</v>
      </c>
      <c r="G8" s="75">
        <f t="shared" ref="G8:G18" si="0">E8/F8</f>
        <v>0.5</v>
      </c>
      <c r="H8" s="1">
        <v>2</v>
      </c>
    </row>
    <row r="9" spans="1:8" ht="120" outlineLevel="2" x14ac:dyDescent="0.2">
      <c r="A9" s="81"/>
      <c r="B9" s="80" t="s">
        <v>583</v>
      </c>
      <c r="C9" s="80"/>
      <c r="D9" s="153"/>
      <c r="E9" s="107">
        <v>3</v>
      </c>
      <c r="F9" s="42">
        <v>4</v>
      </c>
      <c r="G9" s="75">
        <f t="shared" si="0"/>
        <v>0.75</v>
      </c>
      <c r="H9" s="1">
        <v>3.75</v>
      </c>
    </row>
    <row r="10" spans="1:8" ht="45" outlineLevel="2" x14ac:dyDescent="0.2">
      <c r="A10" s="81"/>
      <c r="B10" s="80" t="s">
        <v>488</v>
      </c>
      <c r="C10" s="80"/>
      <c r="D10" s="153"/>
      <c r="E10" s="107">
        <v>3</v>
      </c>
      <c r="F10" s="42">
        <v>4</v>
      </c>
      <c r="G10" s="75">
        <f t="shared" si="0"/>
        <v>0.75</v>
      </c>
      <c r="H10" s="1">
        <v>3.75</v>
      </c>
    </row>
    <row r="11" spans="1:8" ht="90" outlineLevel="2" x14ac:dyDescent="0.2">
      <c r="A11" s="81"/>
      <c r="B11" s="80" t="s">
        <v>504</v>
      </c>
      <c r="C11" s="80"/>
      <c r="D11" s="153"/>
      <c r="E11" s="107">
        <v>2</v>
      </c>
      <c r="F11" s="42">
        <v>4</v>
      </c>
      <c r="G11" s="75">
        <f t="shared" ref="G11" si="1">E11/F11</f>
        <v>0.5</v>
      </c>
      <c r="H11" s="1">
        <v>2</v>
      </c>
    </row>
    <row r="12" spans="1:8" ht="30" outlineLevel="2" x14ac:dyDescent="0.2">
      <c r="A12" s="82"/>
      <c r="B12" s="83" t="s">
        <v>489</v>
      </c>
      <c r="C12" s="80"/>
      <c r="D12" s="153"/>
      <c r="E12" s="107">
        <v>3</v>
      </c>
      <c r="F12" s="84">
        <v>4</v>
      </c>
      <c r="G12" s="85">
        <f t="shared" si="0"/>
        <v>0.75</v>
      </c>
      <c r="H12" s="1">
        <v>3.75</v>
      </c>
    </row>
    <row r="13" spans="1:8" ht="15" outlineLevel="1" x14ac:dyDescent="0.2">
      <c r="A13" s="93" t="s">
        <v>535</v>
      </c>
      <c r="B13" s="198"/>
      <c r="C13" s="198"/>
      <c r="D13" s="199"/>
      <c r="E13" s="108">
        <f>AVERAGE(E14:E18)</f>
        <v>2.8</v>
      </c>
      <c r="F13" s="90">
        <v>4</v>
      </c>
      <c r="G13" s="91">
        <f>E13/F13</f>
        <v>0.7</v>
      </c>
      <c r="H13" s="1"/>
    </row>
    <row r="14" spans="1:8" ht="15" outlineLevel="2" x14ac:dyDescent="0.2">
      <c r="A14" s="94"/>
      <c r="B14" s="86" t="s">
        <v>490</v>
      </c>
      <c r="C14" s="87"/>
      <c r="D14" s="153"/>
      <c r="E14" s="107">
        <v>3</v>
      </c>
      <c r="F14" s="88">
        <v>4</v>
      </c>
      <c r="G14" s="89">
        <f t="shared" si="0"/>
        <v>0.75</v>
      </c>
      <c r="H14" s="1">
        <v>3</v>
      </c>
    </row>
    <row r="15" spans="1:8" ht="15" outlineLevel="2" x14ac:dyDescent="0.2">
      <c r="A15" s="81"/>
      <c r="B15" s="80" t="s">
        <v>581</v>
      </c>
      <c r="C15" s="79"/>
      <c r="D15" s="153"/>
      <c r="E15" s="107">
        <v>3</v>
      </c>
      <c r="F15" s="42">
        <v>4</v>
      </c>
      <c r="G15" s="75">
        <f t="shared" si="0"/>
        <v>0.75</v>
      </c>
      <c r="H15" s="1">
        <v>3</v>
      </c>
    </row>
    <row r="16" spans="1:8" ht="15" outlineLevel="2" x14ac:dyDescent="0.2">
      <c r="A16" s="81"/>
      <c r="B16" s="80" t="s">
        <v>582</v>
      </c>
      <c r="C16" s="79"/>
      <c r="D16" s="153"/>
      <c r="E16" s="107">
        <v>3</v>
      </c>
      <c r="F16" s="42">
        <v>4</v>
      </c>
      <c r="G16" s="75">
        <f t="shared" si="0"/>
        <v>0.75</v>
      </c>
      <c r="H16" s="1">
        <v>3</v>
      </c>
    </row>
    <row r="17" spans="1:8" ht="15" outlineLevel="2" x14ac:dyDescent="0.2">
      <c r="A17" s="81"/>
      <c r="B17" s="80" t="s">
        <v>491</v>
      </c>
      <c r="C17" s="79"/>
      <c r="D17" s="153"/>
      <c r="E17" s="107">
        <v>2</v>
      </c>
      <c r="F17" s="42">
        <v>4</v>
      </c>
      <c r="G17" s="75">
        <f t="shared" si="0"/>
        <v>0.5</v>
      </c>
      <c r="H17" s="1">
        <v>3.75</v>
      </c>
    </row>
    <row r="18" spans="1:8" ht="15" outlineLevel="2" x14ac:dyDescent="0.2">
      <c r="A18" s="82"/>
      <c r="B18" s="83" t="s">
        <v>492</v>
      </c>
      <c r="C18" s="92"/>
      <c r="D18" s="153"/>
      <c r="E18" s="107">
        <v>3</v>
      </c>
      <c r="F18" s="84">
        <v>4</v>
      </c>
      <c r="G18" s="85">
        <f t="shared" si="0"/>
        <v>0.75</v>
      </c>
      <c r="H18" s="1">
        <v>3</v>
      </c>
    </row>
    <row r="24" spans="1:8" x14ac:dyDescent="0.2">
      <c r="F24" s="70"/>
      <c r="G24" s="1"/>
      <c r="H24" s="1"/>
    </row>
    <row r="25" spans="1:8" x14ac:dyDescent="0.2">
      <c r="F25" s="70"/>
      <c r="G25" s="1"/>
      <c r="H25" s="1"/>
    </row>
    <row r="26" spans="1:8" x14ac:dyDescent="0.2">
      <c r="F26" s="70"/>
      <c r="G26" s="1"/>
      <c r="H26" s="1"/>
    </row>
    <row r="27" spans="1:8" x14ac:dyDescent="0.2">
      <c r="F27" s="70"/>
      <c r="G27" s="1"/>
      <c r="H27" s="1"/>
    </row>
    <row r="28" spans="1:8" x14ac:dyDescent="0.2">
      <c r="F28" s="70"/>
      <c r="G28" s="1"/>
      <c r="H28" s="1"/>
    </row>
    <row r="29" spans="1:8" x14ac:dyDescent="0.2">
      <c r="F29" s="70"/>
      <c r="G29" s="1"/>
      <c r="H29" s="1"/>
    </row>
    <row r="30" spans="1:8" x14ac:dyDescent="0.2">
      <c r="F30" s="70"/>
      <c r="G30" s="1"/>
      <c r="H30" s="1"/>
    </row>
    <row r="31" spans="1:8" x14ac:dyDescent="0.2">
      <c r="F31" s="70"/>
      <c r="G31" s="1"/>
      <c r="H31" s="1"/>
    </row>
    <row r="32" spans="1:8" x14ac:dyDescent="0.2">
      <c r="F32" s="70"/>
      <c r="G32" s="1"/>
      <c r="H32" s="1"/>
    </row>
    <row r="33" spans="6:8" x14ac:dyDescent="0.2">
      <c r="F33" s="70"/>
      <c r="G33" s="1"/>
      <c r="H33" s="1"/>
    </row>
    <row r="34" spans="6:8" x14ac:dyDescent="0.2">
      <c r="F34" s="70"/>
      <c r="G34" s="1"/>
      <c r="H34" s="1"/>
    </row>
    <row r="35" spans="6:8" x14ac:dyDescent="0.2">
      <c r="F35" s="70"/>
      <c r="G35" s="1"/>
      <c r="H35" s="1"/>
    </row>
    <row r="36" spans="6:8" x14ac:dyDescent="0.2">
      <c r="F36" s="70"/>
      <c r="G36" s="1"/>
      <c r="H36" s="1"/>
    </row>
    <row r="37" spans="6:8" x14ac:dyDescent="0.2">
      <c r="F37" s="70"/>
      <c r="G37" s="1"/>
      <c r="H37" s="1"/>
    </row>
    <row r="38" spans="6:8" x14ac:dyDescent="0.2">
      <c r="F38" s="70"/>
      <c r="G38" s="1"/>
      <c r="H38" s="1"/>
    </row>
    <row r="39" spans="6:8" x14ac:dyDescent="0.2">
      <c r="F39" s="70"/>
      <c r="G39" s="1"/>
      <c r="H39" s="1"/>
    </row>
    <row r="40" spans="6:8" x14ac:dyDescent="0.2">
      <c r="F40" s="70"/>
      <c r="G40" s="1"/>
      <c r="H40" s="1"/>
    </row>
    <row r="41" spans="6:8" x14ac:dyDescent="0.2">
      <c r="F41" s="70"/>
      <c r="G41" s="1"/>
      <c r="H41" s="1"/>
    </row>
    <row r="42" spans="6:8" x14ac:dyDescent="0.2">
      <c r="F42" s="70"/>
      <c r="G42" s="1"/>
      <c r="H42" s="1"/>
    </row>
    <row r="43" spans="6:8" x14ac:dyDescent="0.2">
      <c r="F43" s="70"/>
      <c r="G43" s="1"/>
      <c r="H43" s="1"/>
    </row>
    <row r="44" spans="6:8" x14ac:dyDescent="0.2">
      <c r="F44" s="70"/>
      <c r="G44" s="1"/>
      <c r="H44" s="1"/>
    </row>
    <row r="45" spans="6:8" x14ac:dyDescent="0.2">
      <c r="F45" s="70"/>
      <c r="G45" s="1"/>
      <c r="H45" s="1"/>
    </row>
    <row r="46" spans="6:8" x14ac:dyDescent="0.2">
      <c r="F46" s="70"/>
      <c r="G46" s="1"/>
      <c r="H46" s="1"/>
    </row>
    <row r="47" spans="6:8" x14ac:dyDescent="0.2">
      <c r="F47" s="70"/>
      <c r="G47" s="1"/>
      <c r="H47" s="1"/>
    </row>
    <row r="48" spans="6:8" x14ac:dyDescent="0.2">
      <c r="F48" s="70"/>
      <c r="G48" s="1"/>
      <c r="H48" s="1"/>
    </row>
    <row r="49" spans="6:8" x14ac:dyDescent="0.2">
      <c r="F49" s="70"/>
      <c r="G49" s="1"/>
      <c r="H49" s="1"/>
    </row>
    <row r="50" spans="6:8" x14ac:dyDescent="0.2">
      <c r="F50" s="70"/>
      <c r="G50" s="1"/>
      <c r="H50" s="1"/>
    </row>
    <row r="51" spans="6:8" x14ac:dyDescent="0.2">
      <c r="F51" s="70"/>
      <c r="G51" s="1"/>
      <c r="H51" s="1"/>
    </row>
    <row r="52" spans="6:8" x14ac:dyDescent="0.2">
      <c r="F52" s="70"/>
      <c r="G52" s="1"/>
      <c r="H52" s="1"/>
    </row>
    <row r="53" spans="6:8" x14ac:dyDescent="0.2">
      <c r="F53" s="70"/>
      <c r="G53" s="1"/>
      <c r="H53" s="1"/>
    </row>
    <row r="54" spans="6:8" x14ac:dyDescent="0.2">
      <c r="F54" s="70"/>
      <c r="G54" s="1"/>
      <c r="H54" s="1"/>
    </row>
    <row r="55" spans="6:8" x14ac:dyDescent="0.2">
      <c r="F55" s="70"/>
      <c r="G55" s="1"/>
      <c r="H55" s="1"/>
    </row>
    <row r="56" spans="6:8" x14ac:dyDescent="0.2">
      <c r="F56" s="70"/>
      <c r="G56" s="1"/>
      <c r="H56" s="1"/>
    </row>
    <row r="57" spans="6:8" x14ac:dyDescent="0.2">
      <c r="F57" s="70"/>
      <c r="G57" s="1"/>
      <c r="H57" s="1"/>
    </row>
    <row r="58" spans="6:8" x14ac:dyDescent="0.2">
      <c r="F58" s="70"/>
      <c r="G58" s="1"/>
      <c r="H58" s="1"/>
    </row>
    <row r="59" spans="6:8" x14ac:dyDescent="0.2">
      <c r="F59" s="70"/>
      <c r="G59" s="1"/>
      <c r="H59" s="1"/>
    </row>
    <row r="60" spans="6:8" x14ac:dyDescent="0.2">
      <c r="F60" s="70"/>
      <c r="G60" s="1"/>
      <c r="H60" s="1"/>
    </row>
    <row r="61" spans="6:8" x14ac:dyDescent="0.2">
      <c r="F61" s="70"/>
      <c r="G61" s="1"/>
      <c r="H61" s="1"/>
    </row>
    <row r="62" spans="6:8" x14ac:dyDescent="0.2">
      <c r="F62" s="70"/>
      <c r="G62" s="1"/>
      <c r="H62" s="1"/>
    </row>
    <row r="63" spans="6:8" x14ac:dyDescent="0.2">
      <c r="F63" s="70"/>
      <c r="G63" s="1"/>
      <c r="H63" s="1"/>
    </row>
    <row r="64" spans="6:8" x14ac:dyDescent="0.2">
      <c r="F64" s="70"/>
      <c r="G64" s="1"/>
      <c r="H64" s="1"/>
    </row>
    <row r="65" spans="6:8" x14ac:dyDescent="0.2">
      <c r="F65" s="70"/>
      <c r="G65" s="1"/>
      <c r="H65" s="1"/>
    </row>
    <row r="66" spans="6:8" x14ac:dyDescent="0.2">
      <c r="F66" s="70"/>
      <c r="G66" s="1"/>
      <c r="H66" s="1"/>
    </row>
    <row r="67" spans="6:8" x14ac:dyDescent="0.2">
      <c r="F67" s="70"/>
      <c r="G67" s="1"/>
      <c r="H67" s="1"/>
    </row>
    <row r="68" spans="6:8" x14ac:dyDescent="0.2">
      <c r="F68" s="70"/>
      <c r="G68" s="1"/>
      <c r="H68" s="1"/>
    </row>
    <row r="69" spans="6:8" x14ac:dyDescent="0.2">
      <c r="F69" s="70"/>
      <c r="G69" s="1"/>
      <c r="H69" s="1"/>
    </row>
    <row r="70" spans="6:8" x14ac:dyDescent="0.2">
      <c r="F70" s="70"/>
      <c r="G70" s="1"/>
      <c r="H70" s="1"/>
    </row>
    <row r="71" spans="6:8" x14ac:dyDescent="0.2">
      <c r="F71" s="70"/>
      <c r="G71" s="1"/>
      <c r="H71" s="1"/>
    </row>
    <row r="72" spans="6:8" x14ac:dyDescent="0.2">
      <c r="F72" s="70"/>
      <c r="G72" s="1"/>
      <c r="H72" s="1"/>
    </row>
    <row r="73" spans="6:8" x14ac:dyDescent="0.2">
      <c r="F73" s="70"/>
      <c r="G73" s="1"/>
      <c r="H73" s="1"/>
    </row>
    <row r="74" spans="6:8" x14ac:dyDescent="0.2">
      <c r="F74" s="70"/>
      <c r="G74" s="1"/>
      <c r="H74" s="1"/>
    </row>
    <row r="75" spans="6:8" x14ac:dyDescent="0.2">
      <c r="F75" s="70"/>
      <c r="G75" s="1"/>
      <c r="H75" s="1"/>
    </row>
    <row r="76" spans="6:8" x14ac:dyDescent="0.2">
      <c r="F76" s="70"/>
      <c r="G76" s="1"/>
      <c r="H76" s="1"/>
    </row>
    <row r="77" spans="6:8" x14ac:dyDescent="0.2">
      <c r="F77" s="70"/>
      <c r="G77" s="1"/>
      <c r="H77" s="1"/>
    </row>
    <row r="78" spans="6:8" x14ac:dyDescent="0.2">
      <c r="F78" s="70"/>
      <c r="G78" s="1"/>
      <c r="H78" s="1"/>
    </row>
    <row r="79" spans="6:8" x14ac:dyDescent="0.2">
      <c r="F79" s="70"/>
      <c r="G79" s="1"/>
      <c r="H79" s="1"/>
    </row>
    <row r="80" spans="6:8" x14ac:dyDescent="0.2">
      <c r="F80" s="70"/>
      <c r="G80" s="1"/>
      <c r="H80" s="1"/>
    </row>
    <row r="81" spans="6:8" x14ac:dyDescent="0.2">
      <c r="F81" s="70"/>
      <c r="G81" s="1"/>
      <c r="H81" s="1"/>
    </row>
    <row r="82" spans="6:8" x14ac:dyDescent="0.2">
      <c r="F82" s="70"/>
      <c r="G82" s="1"/>
      <c r="H82" s="1"/>
    </row>
    <row r="83" spans="6:8" x14ac:dyDescent="0.2">
      <c r="F83" s="70"/>
      <c r="G83" s="1"/>
      <c r="H83" s="1"/>
    </row>
    <row r="84" spans="6:8" x14ac:dyDescent="0.2">
      <c r="F84" s="70"/>
      <c r="G84" s="1"/>
      <c r="H84" s="1"/>
    </row>
    <row r="85" spans="6:8" x14ac:dyDescent="0.2">
      <c r="F85" s="70"/>
      <c r="G85" s="1"/>
      <c r="H85" s="1"/>
    </row>
    <row r="86" spans="6:8" x14ac:dyDescent="0.2">
      <c r="F86" s="70"/>
      <c r="G86" s="1"/>
      <c r="H86" s="1"/>
    </row>
    <row r="87" spans="6:8" x14ac:dyDescent="0.2">
      <c r="F87" s="70"/>
      <c r="G87" s="1"/>
      <c r="H87" s="1"/>
    </row>
    <row r="88" spans="6:8" x14ac:dyDescent="0.2">
      <c r="F88" s="70"/>
      <c r="G88" s="1"/>
      <c r="H88" s="1"/>
    </row>
    <row r="89" spans="6:8" x14ac:dyDescent="0.2">
      <c r="F89" s="70"/>
      <c r="G89" s="1"/>
      <c r="H89" s="1"/>
    </row>
    <row r="90" spans="6:8" x14ac:dyDescent="0.2">
      <c r="F90" s="70"/>
      <c r="G90" s="1"/>
      <c r="H90" s="1"/>
    </row>
    <row r="91" spans="6:8" x14ac:dyDescent="0.2">
      <c r="F91" s="70"/>
      <c r="G91" s="1"/>
      <c r="H91" s="1"/>
    </row>
    <row r="92" spans="6:8" x14ac:dyDescent="0.2">
      <c r="F92" s="70"/>
      <c r="G92" s="1"/>
      <c r="H92" s="1"/>
    </row>
    <row r="93" spans="6:8" x14ac:dyDescent="0.2">
      <c r="F93" s="70"/>
      <c r="G93" s="1"/>
      <c r="H93" s="1"/>
    </row>
    <row r="94" spans="6:8" x14ac:dyDescent="0.2">
      <c r="F94" s="70"/>
      <c r="G94" s="1"/>
      <c r="H94" s="1"/>
    </row>
    <row r="95" spans="6:8" x14ac:dyDescent="0.2">
      <c r="F95" s="70"/>
      <c r="G95" s="1"/>
      <c r="H95" s="1"/>
    </row>
    <row r="96" spans="6:8" x14ac:dyDescent="0.2">
      <c r="F96" s="70"/>
      <c r="G96" s="1"/>
      <c r="H96" s="1"/>
    </row>
    <row r="97" spans="6:8" x14ac:dyDescent="0.2">
      <c r="F97" s="70"/>
      <c r="G97" s="1"/>
      <c r="H97" s="1"/>
    </row>
    <row r="98" spans="6:8" x14ac:dyDescent="0.2">
      <c r="F98" s="70"/>
      <c r="G98" s="1"/>
      <c r="H98" s="1"/>
    </row>
    <row r="99" spans="6:8" x14ac:dyDescent="0.2">
      <c r="F99" s="70"/>
      <c r="G99" s="1"/>
      <c r="H99" s="1"/>
    </row>
    <row r="100" spans="6:8" x14ac:dyDescent="0.2">
      <c r="F100" s="70"/>
      <c r="G100" s="1"/>
      <c r="H100" s="1"/>
    </row>
    <row r="101" spans="6:8" x14ac:dyDescent="0.2">
      <c r="F101" s="70"/>
      <c r="G101" s="1"/>
      <c r="H101" s="1"/>
    </row>
    <row r="102" spans="6:8" x14ac:dyDescent="0.2">
      <c r="F102" s="70"/>
      <c r="G102" s="1"/>
      <c r="H102" s="1"/>
    </row>
    <row r="103" spans="6:8" x14ac:dyDescent="0.2">
      <c r="F103" s="70"/>
      <c r="G103" s="1"/>
      <c r="H103" s="1"/>
    </row>
    <row r="104" spans="6:8" x14ac:dyDescent="0.2">
      <c r="F104" s="70"/>
      <c r="G104" s="1"/>
      <c r="H104" s="1"/>
    </row>
    <row r="105" spans="6:8" x14ac:dyDescent="0.2">
      <c r="F105" s="70"/>
      <c r="G105" s="1"/>
      <c r="H105" s="1"/>
    </row>
    <row r="106" spans="6:8" x14ac:dyDescent="0.2">
      <c r="F106" s="70"/>
      <c r="G106" s="1"/>
      <c r="H106" s="1"/>
    </row>
    <row r="107" spans="6:8" x14ac:dyDescent="0.2">
      <c r="F107" s="70"/>
      <c r="G107" s="1"/>
      <c r="H107" s="1"/>
    </row>
    <row r="108" spans="6:8" x14ac:dyDescent="0.2">
      <c r="F108" s="70"/>
      <c r="G108" s="1"/>
      <c r="H108" s="1"/>
    </row>
    <row r="109" spans="6:8" x14ac:dyDescent="0.2">
      <c r="F109" s="70"/>
      <c r="G109" s="1"/>
      <c r="H109" s="1"/>
    </row>
    <row r="110" spans="6:8" x14ac:dyDescent="0.2">
      <c r="F110" s="70"/>
      <c r="G110" s="1"/>
      <c r="H110" s="1"/>
    </row>
    <row r="111" spans="6:8" x14ac:dyDescent="0.2">
      <c r="F111" s="70"/>
      <c r="G111" s="1"/>
      <c r="H111" s="1"/>
    </row>
    <row r="112" spans="6:8" x14ac:dyDescent="0.2">
      <c r="F112" s="70"/>
      <c r="G112" s="1"/>
      <c r="H112" s="1"/>
    </row>
    <row r="113" spans="6:8" x14ac:dyDescent="0.2">
      <c r="F113" s="70"/>
      <c r="G113" s="1"/>
      <c r="H113" s="1"/>
    </row>
    <row r="114" spans="6:8" x14ac:dyDescent="0.2">
      <c r="F114" s="70"/>
      <c r="G114" s="1"/>
      <c r="H114" s="1"/>
    </row>
    <row r="115" spans="6:8" x14ac:dyDescent="0.2">
      <c r="F115" s="70"/>
      <c r="G115" s="1"/>
      <c r="H115" s="1"/>
    </row>
    <row r="116" spans="6:8" x14ac:dyDescent="0.2">
      <c r="F116" s="70"/>
      <c r="G116" s="1"/>
      <c r="H116" s="1"/>
    </row>
    <row r="117" spans="6:8" x14ac:dyDescent="0.2">
      <c r="F117" s="70"/>
      <c r="G117" s="1"/>
      <c r="H117" s="1"/>
    </row>
    <row r="118" spans="6:8" x14ac:dyDescent="0.2">
      <c r="F118" s="70"/>
      <c r="G118" s="1"/>
      <c r="H118" s="1"/>
    </row>
    <row r="119" spans="6:8" x14ac:dyDescent="0.2">
      <c r="F119" s="70"/>
      <c r="G119" s="1"/>
      <c r="H119" s="1"/>
    </row>
    <row r="120" spans="6:8" x14ac:dyDescent="0.2">
      <c r="F120" s="70"/>
      <c r="G120" s="1"/>
      <c r="H120" s="1"/>
    </row>
    <row r="121" spans="6:8" x14ac:dyDescent="0.2">
      <c r="F121" s="70"/>
      <c r="G121" s="1"/>
      <c r="H121" s="1"/>
    </row>
    <row r="122" spans="6:8" x14ac:dyDescent="0.2">
      <c r="F122" s="70"/>
      <c r="G122" s="1"/>
      <c r="H122" s="1"/>
    </row>
    <row r="123" spans="6:8" x14ac:dyDescent="0.2">
      <c r="F123" s="70"/>
      <c r="G123" s="1"/>
      <c r="H123" s="1"/>
    </row>
    <row r="124" spans="6:8" x14ac:dyDescent="0.2">
      <c r="F124" s="70"/>
      <c r="G124" s="1"/>
      <c r="H124" s="1"/>
    </row>
    <row r="125" spans="6:8" x14ac:dyDescent="0.2">
      <c r="F125" s="70"/>
      <c r="G125" s="1"/>
      <c r="H125" s="1"/>
    </row>
    <row r="126" spans="6:8" x14ac:dyDescent="0.2">
      <c r="F126" s="70"/>
      <c r="G126" s="1"/>
      <c r="H126" s="1"/>
    </row>
    <row r="127" spans="6:8" x14ac:dyDescent="0.2">
      <c r="F127" s="70"/>
      <c r="G127" s="1"/>
      <c r="H127" s="1"/>
    </row>
    <row r="128" spans="6:8" x14ac:dyDescent="0.2">
      <c r="F128" s="70"/>
      <c r="G128" s="1"/>
      <c r="H128" s="1"/>
    </row>
    <row r="129" spans="6:8" x14ac:dyDescent="0.2">
      <c r="F129" s="70"/>
      <c r="G129" s="1"/>
      <c r="H129" s="1"/>
    </row>
    <row r="130" spans="6:8" x14ac:dyDescent="0.2">
      <c r="F130" s="70"/>
      <c r="G130" s="1"/>
      <c r="H130" s="1"/>
    </row>
    <row r="131" spans="6:8" x14ac:dyDescent="0.2">
      <c r="F131" s="70"/>
      <c r="G131" s="1"/>
      <c r="H131" s="1"/>
    </row>
    <row r="132" spans="6:8" x14ac:dyDescent="0.2">
      <c r="F132" s="70"/>
      <c r="G132" s="1"/>
      <c r="H132" s="1"/>
    </row>
    <row r="133" spans="6:8" x14ac:dyDescent="0.2">
      <c r="F133" s="70"/>
      <c r="G133" s="1"/>
      <c r="H133" s="1"/>
    </row>
    <row r="134" spans="6:8" x14ac:dyDescent="0.2">
      <c r="F134" s="70"/>
      <c r="G134" s="1"/>
      <c r="H134" s="1"/>
    </row>
    <row r="135" spans="6:8" x14ac:dyDescent="0.2">
      <c r="F135" s="70"/>
      <c r="G135" s="1"/>
      <c r="H135" s="1"/>
    </row>
    <row r="136" spans="6:8" x14ac:dyDescent="0.2">
      <c r="F136" s="70"/>
      <c r="G136" s="1"/>
      <c r="H136" s="1"/>
    </row>
    <row r="137" spans="6:8" x14ac:dyDescent="0.2">
      <c r="F137" s="70"/>
      <c r="G137" s="1"/>
      <c r="H137" s="1"/>
    </row>
    <row r="138" spans="6:8" x14ac:dyDescent="0.2">
      <c r="F138" s="70"/>
      <c r="G138" s="1"/>
      <c r="H138" s="1"/>
    </row>
    <row r="139" spans="6:8" x14ac:dyDescent="0.2">
      <c r="F139" s="70"/>
      <c r="G139" s="1"/>
      <c r="H139" s="1"/>
    </row>
    <row r="140" spans="6:8" x14ac:dyDescent="0.2">
      <c r="F140" s="70"/>
      <c r="G140" s="1"/>
      <c r="H140" s="1"/>
    </row>
  </sheetData>
  <sheetProtection sort="0" autoFilter="0" pivotTables="0"/>
  <mergeCells count="4">
    <mergeCell ref="A3:H3"/>
    <mergeCell ref="A2:C2"/>
    <mergeCell ref="B6:D6"/>
    <mergeCell ref="B13:D13"/>
  </mergeCells>
  <conditionalFormatting sqref="E7:E12">
    <cfRule type="cellIs" dxfId="79" priority="145" operator="equal">
      <formula>4</formula>
    </cfRule>
    <cfRule type="cellIs" dxfId="78" priority="146" operator="equal">
      <formula>3</formula>
    </cfRule>
    <cfRule type="cellIs" dxfId="77" priority="147" operator="equal">
      <formula>2</formula>
    </cfRule>
    <cfRule type="cellIs" dxfId="76" priority="148" operator="equal">
      <formula>1</formula>
    </cfRule>
    <cfRule type="cellIs" dxfId="75" priority="149" operator="equal">
      <formula>0</formula>
    </cfRule>
  </conditionalFormatting>
  <conditionalFormatting sqref="E14:E18">
    <cfRule type="cellIs" dxfId="74" priority="16" operator="equal">
      <formula>4</formula>
    </cfRule>
    <cfRule type="cellIs" dxfId="73" priority="17" operator="equal">
      <formula>3</formula>
    </cfRule>
    <cfRule type="cellIs" dxfId="72" priority="18" operator="equal">
      <formula>2</formula>
    </cfRule>
    <cfRule type="cellIs" dxfId="71" priority="19" operator="equal">
      <formula>1</formula>
    </cfRule>
    <cfRule type="cellIs" dxfId="70" priority="20" operator="equal">
      <formula>0</formula>
    </cfRule>
  </conditionalFormatting>
  <pageMargins left="0.7" right="0.7" top="0.75" bottom="0.75" header="0.3" footer="0.3"/>
  <pageSetup scale="52" fitToHeight="0" orientation="landscape"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'CSF Tiers'!$B$4:$B$8</xm:f>
          </x14:formula1>
          <xm:sqref>E7:E12 E14:E18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pageSetUpPr fitToPage="1"/>
  </sheetPr>
  <dimension ref="A1:R70"/>
  <sheetViews>
    <sheetView zoomScaleNormal="100" workbookViewId="0">
      <pane ySplit="5" topLeftCell="A47" activePane="bottomLeft" state="frozen"/>
      <selection pane="bottomLeft"/>
    </sheetView>
  </sheetViews>
  <sheetFormatPr baseColWidth="10" defaultColWidth="58.33203125" defaultRowHeight="14" outlineLevelRow="2" x14ac:dyDescent="0.2"/>
  <cols>
    <col min="1" max="1" width="36" style="7" bestFit="1" customWidth="1"/>
    <col min="2" max="2" width="57.33203125" style="7" bestFit="1" customWidth="1"/>
    <col min="3" max="3" width="27.33203125" style="7" customWidth="1"/>
    <col min="4" max="4" width="21.6640625" style="8" bestFit="1" customWidth="1"/>
    <col min="5" max="5" width="18.5" style="13" bestFit="1" customWidth="1"/>
    <col min="6" max="6" width="17.5" style="3" bestFit="1" customWidth="1"/>
    <col min="7" max="7" width="17.6640625" style="3" bestFit="1" customWidth="1"/>
    <col min="8" max="8" width="58.33203125" style="4"/>
    <col min="9" max="10" width="58.33203125" style="3"/>
    <col min="11" max="11" width="58.33203125" style="4"/>
    <col min="12" max="13" width="58.33203125" style="3"/>
    <col min="14" max="14" width="58.33203125" style="4"/>
    <col min="15" max="15" width="58.33203125" style="5"/>
    <col min="16" max="18" width="58.33203125" style="13"/>
    <col min="19" max="16384" width="58.33203125" style="11"/>
  </cols>
  <sheetData>
    <row r="1" spans="1:8" s="27" customFormat="1" ht="41.75" customHeight="1" x14ac:dyDescent="0.2">
      <c r="A1" s="33"/>
      <c r="B1" s="33"/>
      <c r="C1" s="32"/>
      <c r="D1" s="150"/>
    </row>
    <row r="2" spans="1:8" s="34" customFormat="1" ht="19" x14ac:dyDescent="0.2">
      <c r="A2" s="195" t="s">
        <v>493</v>
      </c>
      <c r="B2" s="195"/>
      <c r="C2" s="195"/>
      <c r="D2" s="151"/>
      <c r="E2" s="35"/>
      <c r="F2" s="35"/>
      <c r="G2" s="35"/>
      <c r="H2" s="35"/>
    </row>
    <row r="3" spans="1:8" s="1" customFormat="1" ht="15" x14ac:dyDescent="0.2">
      <c r="A3" s="191" t="s">
        <v>37</v>
      </c>
      <c r="B3" s="192"/>
      <c r="C3" s="193"/>
      <c r="D3" s="193"/>
      <c r="E3" s="193"/>
      <c r="F3" s="193"/>
      <c r="G3" s="193"/>
      <c r="H3" s="194"/>
    </row>
    <row r="4" spans="1:8" s="70" customFormat="1" ht="30" x14ac:dyDescent="0.2">
      <c r="A4" s="68" t="s">
        <v>0</v>
      </c>
      <c r="B4" s="68" t="s">
        <v>1</v>
      </c>
      <c r="C4" s="68" t="s">
        <v>28</v>
      </c>
      <c r="D4" s="69" t="s">
        <v>9</v>
      </c>
      <c r="E4" s="71" t="s">
        <v>21</v>
      </c>
      <c r="F4" s="69" t="s">
        <v>22</v>
      </c>
      <c r="G4" s="69" t="s">
        <v>2</v>
      </c>
    </row>
    <row r="5" spans="1:8" s="1" customFormat="1" ht="15" outlineLevel="1" x14ac:dyDescent="0.2">
      <c r="A5" s="36" t="s">
        <v>494</v>
      </c>
      <c r="B5" s="37"/>
      <c r="C5" s="38"/>
      <c r="D5" s="156"/>
      <c r="E5" s="72">
        <f>AVERAGE(E6,E15,E18,E29,E40,E52)</f>
        <v>2.1163961038961041</v>
      </c>
      <c r="F5" s="72">
        <v>4</v>
      </c>
      <c r="G5" s="98">
        <f>E5/F5</f>
        <v>0.52909902597402603</v>
      </c>
    </row>
    <row r="6" spans="1:8" s="1" customFormat="1" ht="15" outlineLevel="1" x14ac:dyDescent="0.2">
      <c r="A6" s="97" t="s">
        <v>495</v>
      </c>
      <c r="B6" s="200"/>
      <c r="C6" s="200"/>
      <c r="D6" s="201"/>
      <c r="E6" s="96">
        <f>AVERAGE(E7:E14)</f>
        <v>1.875</v>
      </c>
      <c r="F6" s="96">
        <v>4</v>
      </c>
      <c r="G6" s="99">
        <f t="shared" ref="G6:G53" si="0">E6/F6</f>
        <v>0.46875</v>
      </c>
    </row>
    <row r="7" spans="1:8" s="1" customFormat="1" ht="15" outlineLevel="2" x14ac:dyDescent="0.2">
      <c r="A7" s="141"/>
      <c r="B7" s="101" t="s">
        <v>502</v>
      </c>
      <c r="C7" s="101"/>
      <c r="D7" s="153"/>
      <c r="E7" s="41">
        <v>2</v>
      </c>
      <c r="F7" s="74">
        <v>4</v>
      </c>
      <c r="G7" s="89">
        <f t="shared" si="0"/>
        <v>0.5</v>
      </c>
      <c r="H7" s="1">
        <v>2</v>
      </c>
    </row>
    <row r="8" spans="1:8" s="1" customFormat="1" ht="15" outlineLevel="2" x14ac:dyDescent="0.2">
      <c r="A8" s="142"/>
      <c r="B8" s="102" t="s">
        <v>505</v>
      </c>
      <c r="C8" s="102"/>
      <c r="D8" s="153"/>
      <c r="E8" s="41">
        <v>2</v>
      </c>
      <c r="F8" s="43">
        <v>4</v>
      </c>
      <c r="G8" s="75">
        <f>E8/F8</f>
        <v>0.5</v>
      </c>
      <c r="H8" s="1">
        <v>2</v>
      </c>
    </row>
    <row r="9" spans="1:8" s="1" customFormat="1" ht="15" outlineLevel="2" x14ac:dyDescent="0.2">
      <c r="A9" s="142"/>
      <c r="B9" s="102" t="s">
        <v>507</v>
      </c>
      <c r="C9" s="102"/>
      <c r="D9" s="153"/>
      <c r="E9" s="41">
        <v>3</v>
      </c>
      <c r="F9" s="43">
        <v>4</v>
      </c>
      <c r="G9" s="75">
        <f t="shared" si="0"/>
        <v>0.75</v>
      </c>
      <c r="H9" s="1">
        <v>3.75</v>
      </c>
    </row>
    <row r="10" spans="1:8" s="1" customFormat="1" ht="15" outlineLevel="2" x14ac:dyDescent="0.2">
      <c r="A10" s="142"/>
      <c r="B10" s="102" t="s">
        <v>508</v>
      </c>
      <c r="C10" s="102"/>
      <c r="D10" s="153"/>
      <c r="E10" s="41">
        <v>2</v>
      </c>
      <c r="F10" s="43">
        <v>4</v>
      </c>
      <c r="G10" s="75">
        <f t="shared" si="0"/>
        <v>0.5</v>
      </c>
      <c r="H10" s="1">
        <v>3.75</v>
      </c>
    </row>
    <row r="11" spans="1:8" s="1" customFormat="1" ht="15" outlineLevel="2" x14ac:dyDescent="0.2">
      <c r="A11" s="142"/>
      <c r="B11" s="102" t="s">
        <v>509</v>
      </c>
      <c r="C11" s="102"/>
      <c r="D11" s="153"/>
      <c r="E11" s="41">
        <v>2</v>
      </c>
      <c r="F11" s="43">
        <v>4</v>
      </c>
      <c r="G11" s="75">
        <f t="shared" ref="G11" si="1">E11/F11</f>
        <v>0.5</v>
      </c>
      <c r="H11" s="1">
        <v>3.75</v>
      </c>
    </row>
    <row r="12" spans="1:8" s="1" customFormat="1" ht="15" outlineLevel="2" x14ac:dyDescent="0.2">
      <c r="A12" s="142"/>
      <c r="B12" s="102" t="s">
        <v>510</v>
      </c>
      <c r="C12" s="102"/>
      <c r="D12" s="153"/>
      <c r="E12" s="41">
        <v>2</v>
      </c>
      <c r="F12" s="43">
        <v>4</v>
      </c>
      <c r="G12" s="75">
        <f t="shared" ref="G12" si="2">E12/F12</f>
        <v>0.5</v>
      </c>
      <c r="H12" s="1">
        <v>2</v>
      </c>
    </row>
    <row r="13" spans="1:8" s="1" customFormat="1" ht="15" outlineLevel="2" x14ac:dyDescent="0.2">
      <c r="A13" s="142"/>
      <c r="B13" s="143" t="s">
        <v>506</v>
      </c>
      <c r="C13" s="102"/>
      <c r="D13" s="153"/>
      <c r="E13" s="41">
        <v>2</v>
      </c>
      <c r="F13" s="43">
        <v>4</v>
      </c>
      <c r="G13" s="75">
        <f t="shared" ref="G13" si="3">E13/F13</f>
        <v>0.5</v>
      </c>
      <c r="H13" s="1">
        <v>2</v>
      </c>
    </row>
    <row r="14" spans="1:8" s="1" customFormat="1" ht="15" outlineLevel="2" x14ac:dyDescent="0.2">
      <c r="A14" s="142"/>
      <c r="B14" s="143" t="s">
        <v>511</v>
      </c>
      <c r="C14" s="102"/>
      <c r="D14" s="153"/>
      <c r="E14" s="41">
        <v>0</v>
      </c>
      <c r="F14" s="43">
        <v>4</v>
      </c>
      <c r="G14" s="75">
        <f t="shared" si="0"/>
        <v>0</v>
      </c>
      <c r="H14" s="1">
        <v>3.75</v>
      </c>
    </row>
    <row r="15" spans="1:8" s="1" customFormat="1" ht="15" outlineLevel="1" x14ac:dyDescent="0.2">
      <c r="A15" s="97" t="s">
        <v>496</v>
      </c>
      <c r="B15" s="200"/>
      <c r="C15" s="200"/>
      <c r="D15" s="201"/>
      <c r="E15" s="96">
        <f>AVERAGE(E16:E17)</f>
        <v>2</v>
      </c>
      <c r="F15" s="96">
        <v>4</v>
      </c>
      <c r="G15" s="99">
        <f t="shared" si="0"/>
        <v>0.5</v>
      </c>
    </row>
    <row r="16" spans="1:8" s="1" customFormat="1" ht="30" outlineLevel="2" x14ac:dyDescent="0.2">
      <c r="A16" s="142"/>
      <c r="B16" s="102" t="s">
        <v>512</v>
      </c>
      <c r="C16" s="102"/>
      <c r="D16" s="154"/>
      <c r="E16" s="41">
        <v>2</v>
      </c>
      <c r="F16" s="43">
        <v>4</v>
      </c>
      <c r="G16" s="75">
        <f t="shared" si="0"/>
        <v>0.5</v>
      </c>
      <c r="H16" s="1">
        <v>3.75</v>
      </c>
    </row>
    <row r="17" spans="1:8" s="1" customFormat="1" ht="15" outlineLevel="2" x14ac:dyDescent="0.2">
      <c r="A17" s="142"/>
      <c r="B17" s="102" t="s">
        <v>513</v>
      </c>
      <c r="C17" s="102"/>
      <c r="D17" s="153"/>
      <c r="E17" s="41">
        <v>2</v>
      </c>
      <c r="F17" s="43">
        <v>4</v>
      </c>
      <c r="G17" s="75">
        <f t="shared" si="0"/>
        <v>0.5</v>
      </c>
      <c r="H17" s="1">
        <v>3.75</v>
      </c>
    </row>
    <row r="18" spans="1:8" s="1" customFormat="1" ht="15" outlineLevel="1" x14ac:dyDescent="0.2">
      <c r="A18" s="97" t="s">
        <v>497</v>
      </c>
      <c r="B18" s="200"/>
      <c r="C18" s="200"/>
      <c r="D18" s="201"/>
      <c r="E18" s="96">
        <f>AVERAGE(E19:E25)</f>
        <v>1.7142857142857142</v>
      </c>
      <c r="F18" s="96">
        <v>4</v>
      </c>
      <c r="G18" s="99">
        <f t="shared" si="0"/>
        <v>0.42857142857142855</v>
      </c>
    </row>
    <row r="19" spans="1:8" s="1" customFormat="1" ht="15" outlineLevel="2" x14ac:dyDescent="0.2">
      <c r="A19" s="142"/>
      <c r="B19" s="102" t="s">
        <v>514</v>
      </c>
      <c r="C19" s="102"/>
      <c r="D19" s="153"/>
      <c r="E19" s="41">
        <v>2</v>
      </c>
      <c r="F19" s="43">
        <v>4</v>
      </c>
      <c r="G19" s="75">
        <f t="shared" si="0"/>
        <v>0.5</v>
      </c>
      <c r="H19" s="1">
        <v>2</v>
      </c>
    </row>
    <row r="20" spans="1:8" s="1" customFormat="1" ht="15" outlineLevel="2" x14ac:dyDescent="0.2">
      <c r="A20" s="142"/>
      <c r="B20" s="102" t="s">
        <v>515</v>
      </c>
      <c r="C20" s="102"/>
      <c r="D20" s="153"/>
      <c r="E20" s="41">
        <v>2</v>
      </c>
      <c r="F20" s="43">
        <v>4</v>
      </c>
      <c r="G20" s="75">
        <f t="shared" si="0"/>
        <v>0.5</v>
      </c>
      <c r="H20" s="1">
        <v>3.75</v>
      </c>
    </row>
    <row r="21" spans="1:8" s="1" customFormat="1" ht="15" outlineLevel="2" x14ac:dyDescent="0.2">
      <c r="A21" s="142"/>
      <c r="B21" s="102" t="s">
        <v>516</v>
      </c>
      <c r="C21" s="102"/>
      <c r="D21" s="153"/>
      <c r="E21" s="41">
        <v>2</v>
      </c>
      <c r="F21" s="43">
        <v>4</v>
      </c>
      <c r="G21" s="75">
        <f t="shared" si="0"/>
        <v>0.5</v>
      </c>
      <c r="H21" s="1">
        <v>2</v>
      </c>
    </row>
    <row r="22" spans="1:8" s="1" customFormat="1" ht="15" outlineLevel="2" x14ac:dyDescent="0.2">
      <c r="A22" s="142"/>
      <c r="B22" s="102" t="s">
        <v>517</v>
      </c>
      <c r="C22" s="102"/>
      <c r="D22" s="153"/>
      <c r="E22" s="41">
        <v>0</v>
      </c>
      <c r="F22" s="43">
        <v>4</v>
      </c>
      <c r="G22" s="75">
        <f t="shared" si="0"/>
        <v>0</v>
      </c>
      <c r="H22" s="1">
        <v>0</v>
      </c>
    </row>
    <row r="23" spans="1:8" s="1" customFormat="1" ht="15" outlineLevel="2" x14ac:dyDescent="0.2">
      <c r="A23" s="142"/>
      <c r="B23" s="102" t="s">
        <v>518</v>
      </c>
      <c r="C23" s="102"/>
      <c r="D23" s="153"/>
      <c r="E23" s="41">
        <v>1</v>
      </c>
      <c r="F23" s="43">
        <v>4</v>
      </c>
      <c r="G23" s="75">
        <f t="shared" si="0"/>
        <v>0.25</v>
      </c>
      <c r="H23" s="1">
        <v>3.75</v>
      </c>
    </row>
    <row r="24" spans="1:8" s="1" customFormat="1" ht="15" outlineLevel="2" x14ac:dyDescent="0.2">
      <c r="A24" s="142"/>
      <c r="B24" s="102" t="s">
        <v>519</v>
      </c>
      <c r="C24" s="102"/>
      <c r="D24" s="153"/>
      <c r="E24" s="41">
        <v>3</v>
      </c>
      <c r="F24" s="43">
        <v>4</v>
      </c>
      <c r="G24" s="75">
        <f t="shared" si="0"/>
        <v>0.75</v>
      </c>
      <c r="H24" s="1">
        <v>3.75</v>
      </c>
    </row>
    <row r="25" spans="1:8" s="1" customFormat="1" ht="15" outlineLevel="2" x14ac:dyDescent="0.2">
      <c r="A25" s="142"/>
      <c r="B25" s="102" t="s">
        <v>520</v>
      </c>
      <c r="C25" s="102"/>
      <c r="D25" s="153"/>
      <c r="E25" s="41">
        <v>2</v>
      </c>
      <c r="F25" s="43">
        <v>4</v>
      </c>
      <c r="G25" s="75">
        <f t="shared" si="0"/>
        <v>0.5</v>
      </c>
      <c r="H25" s="1">
        <v>3.75</v>
      </c>
    </row>
    <row r="26" spans="1:8" s="1" customFormat="1" ht="15" outlineLevel="2" x14ac:dyDescent="0.2">
      <c r="A26" s="144"/>
      <c r="B26" s="143" t="s">
        <v>521</v>
      </c>
      <c r="C26" s="143"/>
      <c r="D26" s="153"/>
      <c r="E26" s="41">
        <v>2</v>
      </c>
      <c r="F26" s="43">
        <v>4</v>
      </c>
      <c r="G26" s="75">
        <f t="shared" ref="G26:G28" si="4">E26/F26</f>
        <v>0.5</v>
      </c>
      <c r="H26" s="1">
        <v>3.75</v>
      </c>
    </row>
    <row r="27" spans="1:8" s="1" customFormat="1" ht="15" outlineLevel="2" x14ac:dyDescent="0.2">
      <c r="A27" s="144"/>
      <c r="B27" s="143" t="s">
        <v>522</v>
      </c>
      <c r="C27" s="143"/>
      <c r="D27" s="153"/>
      <c r="E27" s="41">
        <v>4</v>
      </c>
      <c r="F27" s="43">
        <v>4</v>
      </c>
      <c r="G27" s="75">
        <f t="shared" ref="G27" si="5">E27/F27</f>
        <v>1</v>
      </c>
      <c r="H27" s="1">
        <v>3.75</v>
      </c>
    </row>
    <row r="28" spans="1:8" s="1" customFormat="1" ht="15" outlineLevel="2" x14ac:dyDescent="0.2">
      <c r="A28" s="144"/>
      <c r="B28" s="143" t="s">
        <v>523</v>
      </c>
      <c r="C28" s="143"/>
      <c r="D28" s="153"/>
      <c r="E28" s="41">
        <v>2</v>
      </c>
      <c r="F28" s="43">
        <v>4</v>
      </c>
      <c r="G28" s="75">
        <f t="shared" si="4"/>
        <v>0.5</v>
      </c>
      <c r="H28" s="1">
        <v>3.75</v>
      </c>
    </row>
    <row r="29" spans="1:8" s="1" customFormat="1" ht="15" outlineLevel="1" x14ac:dyDescent="0.2">
      <c r="A29" s="97" t="s">
        <v>498</v>
      </c>
      <c r="B29" s="200"/>
      <c r="C29" s="200"/>
      <c r="D29" s="201"/>
      <c r="E29" s="96">
        <f>AVERAGE(E30:E39)</f>
        <v>2.2000000000000002</v>
      </c>
      <c r="F29" s="96">
        <v>4</v>
      </c>
      <c r="G29" s="99">
        <f t="shared" si="0"/>
        <v>0.55000000000000004</v>
      </c>
    </row>
    <row r="30" spans="1:8" s="1" customFormat="1" ht="15" outlineLevel="2" x14ac:dyDescent="0.2">
      <c r="A30" s="142"/>
      <c r="B30" s="102" t="s">
        <v>524</v>
      </c>
      <c r="C30" s="102"/>
      <c r="D30" s="153"/>
      <c r="E30" s="41">
        <v>2</v>
      </c>
      <c r="F30" s="43">
        <v>4</v>
      </c>
      <c r="G30" s="75">
        <f t="shared" si="0"/>
        <v>0.5</v>
      </c>
    </row>
    <row r="31" spans="1:8" s="1" customFormat="1" ht="15" outlineLevel="2" x14ac:dyDescent="0.2">
      <c r="A31" s="142"/>
      <c r="B31" s="102" t="s">
        <v>525</v>
      </c>
      <c r="C31" s="102"/>
      <c r="D31" s="153"/>
      <c r="E31" s="41">
        <v>1</v>
      </c>
      <c r="F31" s="43">
        <v>4</v>
      </c>
      <c r="G31" s="75">
        <f t="shared" si="0"/>
        <v>0.25</v>
      </c>
    </row>
    <row r="32" spans="1:8" s="1" customFormat="1" ht="15" outlineLevel="2" x14ac:dyDescent="0.2">
      <c r="A32" s="142"/>
      <c r="B32" s="102" t="s">
        <v>526</v>
      </c>
      <c r="C32" s="102"/>
      <c r="D32" s="153"/>
      <c r="E32" s="41">
        <v>2</v>
      </c>
      <c r="F32" s="43">
        <v>4</v>
      </c>
      <c r="G32" s="75">
        <f t="shared" si="0"/>
        <v>0.5</v>
      </c>
    </row>
    <row r="33" spans="1:7" s="1" customFormat="1" ht="15" outlineLevel="2" x14ac:dyDescent="0.2">
      <c r="A33" s="142"/>
      <c r="B33" s="102" t="s">
        <v>527</v>
      </c>
      <c r="C33" s="102"/>
      <c r="D33" s="153"/>
      <c r="E33" s="41">
        <v>2</v>
      </c>
      <c r="F33" s="43">
        <v>4</v>
      </c>
      <c r="G33" s="75">
        <f t="shared" si="0"/>
        <v>0.5</v>
      </c>
    </row>
    <row r="34" spans="1:7" s="1" customFormat="1" ht="15" outlineLevel="2" x14ac:dyDescent="0.2">
      <c r="A34" s="142"/>
      <c r="B34" s="102" t="s">
        <v>528</v>
      </c>
      <c r="C34" s="102"/>
      <c r="D34" s="153"/>
      <c r="E34" s="41">
        <v>3</v>
      </c>
      <c r="F34" s="43">
        <v>4</v>
      </c>
      <c r="G34" s="75">
        <f t="shared" si="0"/>
        <v>0.75</v>
      </c>
    </row>
    <row r="35" spans="1:7" s="1" customFormat="1" ht="15" outlineLevel="2" x14ac:dyDescent="0.2">
      <c r="A35" s="142"/>
      <c r="B35" s="102" t="s">
        <v>529</v>
      </c>
      <c r="C35" s="102"/>
      <c r="D35" s="153"/>
      <c r="E35" s="41">
        <v>3</v>
      </c>
      <c r="F35" s="43">
        <v>4</v>
      </c>
      <c r="G35" s="75">
        <f t="shared" si="0"/>
        <v>0.75</v>
      </c>
    </row>
    <row r="36" spans="1:7" s="1" customFormat="1" ht="15" outlineLevel="2" x14ac:dyDescent="0.2">
      <c r="A36" s="142"/>
      <c r="B36" s="102" t="s">
        <v>530</v>
      </c>
      <c r="C36" s="102"/>
      <c r="D36" s="153"/>
      <c r="E36" s="41">
        <v>2</v>
      </c>
      <c r="F36" s="43">
        <v>4</v>
      </c>
      <c r="G36" s="75">
        <f t="shared" si="0"/>
        <v>0.5</v>
      </c>
    </row>
    <row r="37" spans="1:7" s="1" customFormat="1" ht="15" outlineLevel="2" x14ac:dyDescent="0.2">
      <c r="A37" s="142"/>
      <c r="B37" s="102" t="s">
        <v>531</v>
      </c>
      <c r="C37" s="102"/>
      <c r="D37" s="153"/>
      <c r="E37" s="41">
        <v>1</v>
      </c>
      <c r="F37" s="43">
        <v>4</v>
      </c>
      <c r="G37" s="75">
        <f t="shared" si="0"/>
        <v>0.25</v>
      </c>
    </row>
    <row r="38" spans="1:7" s="1" customFormat="1" ht="15" outlineLevel="2" x14ac:dyDescent="0.2">
      <c r="A38" s="142"/>
      <c r="B38" s="102" t="s">
        <v>532</v>
      </c>
      <c r="C38" s="102"/>
      <c r="D38" s="153"/>
      <c r="E38" s="41">
        <v>3</v>
      </c>
      <c r="F38" s="43">
        <v>4</v>
      </c>
      <c r="G38" s="75">
        <f t="shared" si="0"/>
        <v>0.75</v>
      </c>
    </row>
    <row r="39" spans="1:7" s="1" customFormat="1" ht="15" outlineLevel="2" x14ac:dyDescent="0.2">
      <c r="A39" s="142"/>
      <c r="B39" s="102" t="s">
        <v>533</v>
      </c>
      <c r="C39" s="102"/>
      <c r="D39" s="153"/>
      <c r="E39" s="41">
        <v>3</v>
      </c>
      <c r="F39" s="43">
        <v>4</v>
      </c>
      <c r="G39" s="75">
        <f t="shared" si="0"/>
        <v>0.75</v>
      </c>
    </row>
    <row r="40" spans="1:7" s="1" customFormat="1" ht="15" outlineLevel="1" x14ac:dyDescent="0.2">
      <c r="A40" s="97" t="s">
        <v>499</v>
      </c>
      <c r="B40" s="200"/>
      <c r="C40" s="200"/>
      <c r="D40" s="201"/>
      <c r="E40" s="96">
        <f>AVERAGE(E41:E51)</f>
        <v>2.9090909090909092</v>
      </c>
      <c r="F40" s="96">
        <v>4</v>
      </c>
      <c r="G40" s="99">
        <f t="shared" si="0"/>
        <v>0.72727272727272729</v>
      </c>
    </row>
    <row r="41" spans="1:7" s="1" customFormat="1" ht="30" outlineLevel="2" x14ac:dyDescent="0.2">
      <c r="A41" s="142"/>
      <c r="B41" s="102" t="s">
        <v>536</v>
      </c>
      <c r="C41" s="102"/>
      <c r="D41" s="153"/>
      <c r="E41" s="41">
        <v>3</v>
      </c>
      <c r="F41" s="43">
        <v>4</v>
      </c>
      <c r="G41" s="75">
        <f t="shared" si="0"/>
        <v>0.75</v>
      </c>
    </row>
    <row r="42" spans="1:7" s="1" customFormat="1" ht="15" outlineLevel="2" x14ac:dyDescent="0.2">
      <c r="A42" s="142"/>
      <c r="B42" s="102" t="s">
        <v>537</v>
      </c>
      <c r="C42" s="102"/>
      <c r="D42" s="153"/>
      <c r="E42" s="41">
        <v>3</v>
      </c>
      <c r="F42" s="43">
        <v>4</v>
      </c>
      <c r="G42" s="75">
        <f t="shared" ref="G42:G51" si="6">E42/F42</f>
        <v>0.75</v>
      </c>
    </row>
    <row r="43" spans="1:7" s="1" customFormat="1" ht="15" outlineLevel="2" x14ac:dyDescent="0.2">
      <c r="A43" s="142"/>
      <c r="B43" s="102" t="s">
        <v>538</v>
      </c>
      <c r="C43" s="102"/>
      <c r="D43" s="153"/>
      <c r="E43" s="41">
        <v>3</v>
      </c>
      <c r="F43" s="43">
        <v>4</v>
      </c>
      <c r="G43" s="75">
        <f t="shared" si="6"/>
        <v>0.75</v>
      </c>
    </row>
    <row r="44" spans="1:7" s="1" customFormat="1" ht="15" outlineLevel="2" x14ac:dyDescent="0.2">
      <c r="A44" s="142"/>
      <c r="B44" s="102" t="s">
        <v>539</v>
      </c>
      <c r="C44" s="102"/>
      <c r="D44" s="153"/>
      <c r="E44" s="41">
        <v>2</v>
      </c>
      <c r="F44" s="43">
        <v>4</v>
      </c>
      <c r="G44" s="75">
        <f t="shared" si="6"/>
        <v>0.5</v>
      </c>
    </row>
    <row r="45" spans="1:7" s="1" customFormat="1" ht="15" outlineLevel="2" x14ac:dyDescent="0.2">
      <c r="A45" s="142"/>
      <c r="B45" s="102" t="s">
        <v>540</v>
      </c>
      <c r="C45" s="102"/>
      <c r="D45" s="153"/>
      <c r="E45" s="41">
        <v>3</v>
      </c>
      <c r="F45" s="43">
        <v>4</v>
      </c>
      <c r="G45" s="75">
        <f t="shared" si="6"/>
        <v>0.75</v>
      </c>
    </row>
    <row r="46" spans="1:7" s="1" customFormat="1" ht="15" outlineLevel="2" x14ac:dyDescent="0.2">
      <c r="A46" s="142"/>
      <c r="B46" s="102" t="s">
        <v>541</v>
      </c>
      <c r="C46" s="102"/>
      <c r="D46" s="153"/>
      <c r="E46" s="41">
        <v>3</v>
      </c>
      <c r="F46" s="43">
        <v>4</v>
      </c>
      <c r="G46" s="75">
        <f t="shared" si="6"/>
        <v>0.75</v>
      </c>
    </row>
    <row r="47" spans="1:7" s="1" customFormat="1" ht="15" outlineLevel="2" x14ac:dyDescent="0.2">
      <c r="A47" s="142"/>
      <c r="B47" s="102" t="s">
        <v>542</v>
      </c>
      <c r="C47" s="102"/>
      <c r="D47" s="153"/>
      <c r="E47" s="41">
        <v>3</v>
      </c>
      <c r="F47" s="43">
        <v>4</v>
      </c>
      <c r="G47" s="75">
        <f t="shared" si="6"/>
        <v>0.75</v>
      </c>
    </row>
    <row r="48" spans="1:7" s="1" customFormat="1" ht="30" outlineLevel="2" x14ac:dyDescent="0.2">
      <c r="A48" s="142"/>
      <c r="B48" s="102" t="s">
        <v>543</v>
      </c>
      <c r="C48" s="102"/>
      <c r="D48" s="153"/>
      <c r="E48" s="41">
        <v>3</v>
      </c>
      <c r="F48" s="43">
        <v>4</v>
      </c>
      <c r="G48" s="75">
        <f t="shared" si="6"/>
        <v>0.75</v>
      </c>
    </row>
    <row r="49" spans="1:18" s="1" customFormat="1" ht="15" outlineLevel="2" x14ac:dyDescent="0.2">
      <c r="A49" s="142"/>
      <c r="B49" s="102" t="s">
        <v>544</v>
      </c>
      <c r="C49" s="102"/>
      <c r="D49" s="153"/>
      <c r="E49" s="41">
        <v>3</v>
      </c>
      <c r="F49" s="43">
        <v>4</v>
      </c>
      <c r="G49" s="75">
        <f t="shared" si="6"/>
        <v>0.75</v>
      </c>
    </row>
    <row r="50" spans="1:18" s="1" customFormat="1" ht="15" outlineLevel="2" x14ac:dyDescent="0.2">
      <c r="A50" s="142"/>
      <c r="B50" s="102" t="s">
        <v>545</v>
      </c>
      <c r="C50" s="102"/>
      <c r="D50" s="153"/>
      <c r="E50" s="41">
        <v>3</v>
      </c>
      <c r="F50" s="43">
        <v>4</v>
      </c>
      <c r="G50" s="75">
        <f t="shared" si="6"/>
        <v>0.75</v>
      </c>
    </row>
    <row r="51" spans="1:18" s="1" customFormat="1" ht="15" outlineLevel="2" x14ac:dyDescent="0.2">
      <c r="A51" s="142"/>
      <c r="B51" s="102" t="s">
        <v>546</v>
      </c>
      <c r="C51" s="102"/>
      <c r="D51" s="153"/>
      <c r="E51" s="41">
        <v>3</v>
      </c>
      <c r="F51" s="43">
        <v>4</v>
      </c>
      <c r="G51" s="75">
        <f t="shared" si="6"/>
        <v>0.75</v>
      </c>
    </row>
    <row r="52" spans="1:18" s="1" customFormat="1" ht="15" outlineLevel="1" x14ac:dyDescent="0.2">
      <c r="A52" s="97" t="s">
        <v>500</v>
      </c>
      <c r="B52" s="200"/>
      <c r="C52" s="200"/>
      <c r="D52" s="201"/>
      <c r="E52" s="96">
        <f>AVERAGE(E53:E53)</f>
        <v>2</v>
      </c>
      <c r="F52" s="96">
        <v>4</v>
      </c>
      <c r="G52" s="99">
        <f t="shared" si="0"/>
        <v>0.5</v>
      </c>
    </row>
    <row r="53" spans="1:18" s="1" customFormat="1" ht="60" outlineLevel="2" x14ac:dyDescent="0.2">
      <c r="A53" s="142"/>
      <c r="B53" s="102" t="s">
        <v>547</v>
      </c>
      <c r="C53" s="102"/>
      <c r="D53" s="153"/>
      <c r="E53" s="41">
        <v>2</v>
      </c>
      <c r="F53" s="43">
        <v>4</v>
      </c>
      <c r="G53" s="75">
        <f t="shared" si="0"/>
        <v>0.5</v>
      </c>
    </row>
    <row r="54" spans="1:18" s="97" customFormat="1" ht="15" x14ac:dyDescent="0.2">
      <c r="A54" s="97" t="s">
        <v>501</v>
      </c>
      <c r="D54" s="155"/>
      <c r="E54" s="96">
        <f>AVERAGE(E55:E55)</f>
        <v>3</v>
      </c>
    </row>
    <row r="55" spans="1:18" ht="240" x14ac:dyDescent="0.2">
      <c r="B55" s="102" t="s">
        <v>548</v>
      </c>
      <c r="D55" s="153"/>
      <c r="E55" s="41">
        <v>3</v>
      </c>
      <c r="F55" s="43">
        <v>4</v>
      </c>
      <c r="G55" s="75">
        <f t="shared" ref="G55" si="7">E55/F55</f>
        <v>0.75</v>
      </c>
      <c r="H55" s="8"/>
      <c r="I55" s="8"/>
      <c r="J55" s="9"/>
      <c r="K55" s="8"/>
      <c r="L55" s="8"/>
      <c r="M55" s="9"/>
      <c r="N55" s="10"/>
      <c r="O55" s="7"/>
      <c r="P55" s="7"/>
      <c r="Q55" s="7"/>
      <c r="R55" s="11"/>
    </row>
    <row r="56" spans="1:18" ht="15" x14ac:dyDescent="0.2">
      <c r="A56" s="12"/>
      <c r="D56" s="157"/>
      <c r="E56" s="8"/>
      <c r="F56" s="8"/>
      <c r="G56" s="9"/>
      <c r="H56" s="8"/>
      <c r="I56" s="8"/>
      <c r="J56" s="9"/>
      <c r="K56" s="8"/>
      <c r="L56" s="8"/>
      <c r="M56" s="9"/>
      <c r="N56" s="10"/>
      <c r="O56" s="7"/>
      <c r="P56" s="7"/>
      <c r="Q56" s="7"/>
      <c r="R56" s="11"/>
    </row>
    <row r="57" spans="1:18" x14ac:dyDescent="0.2">
      <c r="D57" s="157"/>
      <c r="E57" s="8"/>
      <c r="F57" s="8"/>
      <c r="G57" s="9"/>
      <c r="H57" s="8"/>
      <c r="I57" s="8"/>
      <c r="J57" s="9"/>
      <c r="K57" s="8"/>
      <c r="L57" s="8"/>
      <c r="M57" s="9"/>
      <c r="N57" s="10"/>
      <c r="O57" s="7"/>
      <c r="P57" s="7"/>
      <c r="Q57" s="7"/>
      <c r="R57" s="11"/>
    </row>
    <row r="58" spans="1:18" x14ac:dyDescent="0.2">
      <c r="D58" s="157"/>
      <c r="E58" s="8"/>
      <c r="F58" s="8"/>
      <c r="G58" s="9"/>
      <c r="H58" s="8"/>
      <c r="I58" s="8"/>
      <c r="J58" s="9"/>
      <c r="K58" s="8"/>
      <c r="L58" s="8"/>
      <c r="M58" s="9"/>
      <c r="N58" s="10"/>
      <c r="O58" s="7"/>
      <c r="P58" s="7"/>
      <c r="Q58" s="7"/>
      <c r="R58" s="11"/>
    </row>
    <row r="59" spans="1:18" x14ac:dyDescent="0.2">
      <c r="F59" s="8"/>
      <c r="G59" s="8"/>
      <c r="H59" s="9"/>
      <c r="I59" s="8"/>
      <c r="J59" s="8"/>
      <c r="K59" s="9"/>
      <c r="L59" s="8"/>
      <c r="M59" s="8"/>
      <c r="N59" s="9"/>
      <c r="O59" s="10"/>
      <c r="P59" s="7"/>
      <c r="Q59" s="7"/>
      <c r="R59" s="7"/>
    </row>
    <row r="60" spans="1:18" x14ac:dyDescent="0.2">
      <c r="F60" s="8"/>
      <c r="G60" s="8"/>
      <c r="H60" s="9"/>
      <c r="I60" s="8"/>
      <c r="J60" s="8"/>
      <c r="K60" s="9"/>
      <c r="L60" s="8"/>
      <c r="M60" s="8"/>
      <c r="N60" s="9"/>
      <c r="O60" s="10"/>
      <c r="P60" s="7"/>
      <c r="Q60" s="7"/>
      <c r="R60" s="7"/>
    </row>
    <row r="61" spans="1:18" x14ac:dyDescent="0.2">
      <c r="F61" s="8"/>
      <c r="G61" s="8"/>
      <c r="H61" s="9"/>
      <c r="I61" s="8"/>
      <c r="J61" s="8"/>
      <c r="K61" s="9"/>
      <c r="L61" s="8"/>
      <c r="M61" s="8"/>
      <c r="N61" s="9"/>
      <c r="O61" s="10"/>
      <c r="P61" s="7"/>
      <c r="Q61" s="7"/>
      <c r="R61" s="7"/>
    </row>
    <row r="62" spans="1:18" x14ac:dyDescent="0.2">
      <c r="F62" s="8"/>
      <c r="G62" s="8"/>
      <c r="H62" s="9"/>
      <c r="I62" s="8"/>
      <c r="J62" s="8"/>
      <c r="K62" s="9"/>
      <c r="L62" s="8"/>
      <c r="M62" s="8"/>
      <c r="N62" s="9"/>
      <c r="O62" s="10"/>
      <c r="P62" s="7"/>
      <c r="Q62" s="7"/>
      <c r="R62" s="7"/>
    </row>
    <row r="63" spans="1:18" x14ac:dyDescent="0.2">
      <c r="F63" s="8"/>
      <c r="G63" s="8"/>
      <c r="H63" s="9"/>
      <c r="I63" s="8"/>
      <c r="J63" s="8"/>
      <c r="K63" s="9"/>
      <c r="L63" s="8"/>
      <c r="M63" s="8"/>
      <c r="N63" s="9"/>
      <c r="O63" s="10"/>
      <c r="P63" s="7"/>
      <c r="Q63" s="7"/>
      <c r="R63" s="7"/>
    </row>
    <row r="64" spans="1:18" x14ac:dyDescent="0.2">
      <c r="F64" s="8"/>
      <c r="G64" s="8"/>
      <c r="H64" s="9"/>
      <c r="I64" s="8"/>
      <c r="J64" s="8"/>
      <c r="K64" s="9"/>
      <c r="L64" s="8"/>
      <c r="M64" s="8"/>
      <c r="N64" s="9"/>
      <c r="O64" s="10"/>
      <c r="P64" s="7"/>
      <c r="Q64" s="7"/>
      <c r="R64" s="7"/>
    </row>
    <row r="65" spans="6:18" x14ac:dyDescent="0.2">
      <c r="F65" s="8"/>
      <c r="G65" s="8"/>
      <c r="H65" s="9"/>
      <c r="I65" s="8"/>
      <c r="J65" s="8"/>
      <c r="K65" s="9"/>
      <c r="L65" s="8"/>
      <c r="M65" s="8"/>
      <c r="N65" s="9"/>
      <c r="O65" s="10"/>
      <c r="P65" s="7"/>
      <c r="Q65" s="7"/>
      <c r="R65" s="7"/>
    </row>
    <row r="66" spans="6:18" x14ac:dyDescent="0.2">
      <c r="F66" s="8"/>
      <c r="G66" s="8"/>
      <c r="H66" s="9"/>
      <c r="I66" s="8"/>
      <c r="J66" s="8"/>
      <c r="K66" s="9"/>
      <c r="L66" s="8"/>
      <c r="M66" s="8"/>
      <c r="N66" s="9"/>
      <c r="O66" s="10"/>
      <c r="P66" s="7"/>
      <c r="Q66" s="7"/>
      <c r="R66" s="7"/>
    </row>
    <row r="67" spans="6:18" x14ac:dyDescent="0.2">
      <c r="F67" s="8"/>
      <c r="G67" s="8"/>
      <c r="H67" s="9"/>
      <c r="I67" s="8"/>
      <c r="J67" s="8"/>
      <c r="K67" s="9"/>
      <c r="L67" s="8"/>
      <c r="M67" s="8"/>
      <c r="N67" s="9"/>
      <c r="O67" s="10"/>
      <c r="P67" s="7"/>
      <c r="Q67" s="7"/>
      <c r="R67" s="7"/>
    </row>
    <row r="68" spans="6:18" x14ac:dyDescent="0.2">
      <c r="F68" s="8"/>
      <c r="G68" s="8"/>
      <c r="H68" s="9"/>
      <c r="I68" s="8"/>
      <c r="J68" s="8"/>
      <c r="K68" s="9"/>
      <c r="L68" s="8"/>
      <c r="M68" s="8"/>
      <c r="N68" s="9"/>
      <c r="O68" s="10"/>
      <c r="P68" s="7"/>
      <c r="Q68" s="7"/>
      <c r="R68" s="7"/>
    </row>
    <row r="69" spans="6:18" x14ac:dyDescent="0.2">
      <c r="F69" s="8"/>
      <c r="G69" s="8"/>
      <c r="H69" s="9"/>
      <c r="I69" s="8"/>
      <c r="J69" s="8"/>
      <c r="K69" s="9"/>
      <c r="L69" s="8"/>
      <c r="M69" s="8"/>
      <c r="N69" s="9"/>
      <c r="O69" s="10"/>
      <c r="P69" s="7"/>
      <c r="Q69" s="7"/>
      <c r="R69" s="7"/>
    </row>
    <row r="70" spans="6:18" x14ac:dyDescent="0.2">
      <c r="F70" s="8"/>
      <c r="G70" s="8"/>
      <c r="H70" s="9"/>
      <c r="I70" s="8"/>
      <c r="J70" s="8"/>
      <c r="K70" s="9"/>
      <c r="L70" s="8"/>
      <c r="M70" s="8"/>
      <c r="N70" s="9"/>
      <c r="O70" s="10"/>
      <c r="P70" s="7"/>
      <c r="Q70" s="7"/>
      <c r="R70" s="7"/>
    </row>
  </sheetData>
  <dataConsolidate/>
  <mergeCells count="8">
    <mergeCell ref="B29:D29"/>
    <mergeCell ref="B40:D40"/>
    <mergeCell ref="B52:D52"/>
    <mergeCell ref="A2:C2"/>
    <mergeCell ref="A3:H3"/>
    <mergeCell ref="B6:D6"/>
    <mergeCell ref="B15:D15"/>
    <mergeCell ref="B18:D18"/>
  </mergeCells>
  <conditionalFormatting sqref="E7:E14">
    <cfRule type="cellIs" dxfId="69" priority="40" operator="equal">
      <formula>0</formula>
    </cfRule>
    <cfRule type="cellIs" dxfId="68" priority="39" operator="equal">
      <formula>1</formula>
    </cfRule>
    <cfRule type="cellIs" dxfId="67" priority="38" operator="equal">
      <formula>2</formula>
    </cfRule>
    <cfRule type="cellIs" dxfId="66" priority="37" operator="equal">
      <formula>3</formula>
    </cfRule>
    <cfRule type="cellIs" dxfId="65" priority="36" operator="equal">
      <formula>4</formula>
    </cfRule>
  </conditionalFormatting>
  <conditionalFormatting sqref="E16:E17">
    <cfRule type="cellIs" dxfId="64" priority="35" operator="equal">
      <formula>0</formula>
    </cfRule>
    <cfRule type="cellIs" dxfId="63" priority="34" operator="equal">
      <formula>1</formula>
    </cfRule>
    <cfRule type="cellIs" dxfId="62" priority="33" operator="equal">
      <formula>2</formula>
    </cfRule>
    <cfRule type="cellIs" dxfId="61" priority="32" operator="equal">
      <formula>3</formula>
    </cfRule>
    <cfRule type="cellIs" dxfId="60" priority="31" operator="equal">
      <formula>4</formula>
    </cfRule>
  </conditionalFormatting>
  <conditionalFormatting sqref="E19:E28">
    <cfRule type="cellIs" dxfId="59" priority="30" operator="equal">
      <formula>0</formula>
    </cfRule>
    <cfRule type="cellIs" dxfId="58" priority="29" operator="equal">
      <formula>1</formula>
    </cfRule>
    <cfRule type="cellIs" dxfId="57" priority="28" operator="equal">
      <formula>2</formula>
    </cfRule>
    <cfRule type="cellIs" dxfId="56" priority="27" operator="equal">
      <formula>3</formula>
    </cfRule>
    <cfRule type="cellIs" dxfId="55" priority="26" operator="equal">
      <formula>4</formula>
    </cfRule>
  </conditionalFormatting>
  <conditionalFormatting sqref="E30:E39">
    <cfRule type="cellIs" dxfId="54" priority="18" operator="equal">
      <formula>2</formula>
    </cfRule>
    <cfRule type="cellIs" dxfId="53" priority="17" operator="equal">
      <formula>3</formula>
    </cfRule>
    <cfRule type="cellIs" dxfId="52" priority="16" operator="equal">
      <formula>4</formula>
    </cfRule>
    <cfRule type="cellIs" dxfId="51" priority="19" operator="equal">
      <formula>1</formula>
    </cfRule>
    <cfRule type="cellIs" dxfId="50" priority="20" operator="equal">
      <formula>0</formula>
    </cfRule>
  </conditionalFormatting>
  <conditionalFormatting sqref="E41:E51">
    <cfRule type="cellIs" dxfId="49" priority="15" operator="equal">
      <formula>0</formula>
    </cfRule>
    <cfRule type="cellIs" dxfId="48" priority="14" operator="equal">
      <formula>1</formula>
    </cfRule>
    <cfRule type="cellIs" dxfId="47" priority="13" operator="equal">
      <formula>2</formula>
    </cfRule>
    <cfRule type="cellIs" dxfId="46" priority="12" operator="equal">
      <formula>3</formula>
    </cfRule>
    <cfRule type="cellIs" dxfId="45" priority="11" operator="equal">
      <formula>4</formula>
    </cfRule>
  </conditionalFormatting>
  <conditionalFormatting sqref="E53">
    <cfRule type="cellIs" dxfId="44" priority="10" operator="equal">
      <formula>0</formula>
    </cfRule>
    <cfRule type="cellIs" dxfId="43" priority="9" operator="equal">
      <formula>1</formula>
    </cfRule>
    <cfRule type="cellIs" dxfId="42" priority="8" operator="equal">
      <formula>2</formula>
    </cfRule>
    <cfRule type="cellIs" dxfId="41" priority="7" operator="equal">
      <formula>3</formula>
    </cfRule>
    <cfRule type="cellIs" dxfId="40" priority="6" operator="equal">
      <formula>4</formula>
    </cfRule>
  </conditionalFormatting>
  <conditionalFormatting sqref="E55">
    <cfRule type="cellIs" dxfId="39" priority="5" operator="equal">
      <formula>0</formula>
    </cfRule>
    <cfRule type="cellIs" dxfId="38" priority="4" operator="equal">
      <formula>1</formula>
    </cfRule>
    <cfRule type="cellIs" dxfId="37" priority="3" operator="equal">
      <formula>2</formula>
    </cfRule>
    <cfRule type="cellIs" dxfId="36" priority="2" operator="equal">
      <formula>3</formula>
    </cfRule>
    <cfRule type="cellIs" dxfId="35" priority="1" operator="equal">
      <formula>4</formula>
    </cfRule>
  </conditionalFormatting>
  <pageMargins left="0.25" right="0.25" top="0.75" bottom="0.75" header="0.3" footer="0.3"/>
  <pageSetup scale="16" fitToHeight="0" orientation="landscape"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'CSF Tiers'!$B$4:$B$8</xm:f>
          </x14:formula1>
          <xm:sqref>E53 E19:E28 E16:E17 E7:E14 E30:E39 E55 E41:E51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H129"/>
  <sheetViews>
    <sheetView zoomScaleNormal="100" workbookViewId="0">
      <pane ySplit="5" topLeftCell="A11" activePane="bottomLeft" state="frozen"/>
      <selection pane="bottomLeft" activeCell="C18" sqref="C18:D19"/>
    </sheetView>
  </sheetViews>
  <sheetFormatPr baseColWidth="10" defaultColWidth="9.33203125" defaultRowHeight="14" outlineLevelRow="2" x14ac:dyDescent="0.2"/>
  <cols>
    <col min="1" max="1" width="21.6640625" style="1" customWidth="1"/>
    <col min="2" max="2" width="122.1640625" style="1" bestFit="1" customWidth="1"/>
    <col min="3" max="3" width="14.6640625" style="1" bestFit="1" customWidth="1"/>
    <col min="4" max="4" width="21.6640625" style="1" bestFit="1" customWidth="1"/>
    <col min="5" max="5" width="18.5" style="1" bestFit="1" customWidth="1"/>
    <col min="6" max="8" width="10.6640625" style="2" customWidth="1"/>
    <col min="9" max="9" width="12.5" style="1" customWidth="1"/>
    <col min="10" max="16384" width="9.33203125" style="1"/>
  </cols>
  <sheetData>
    <row r="1" spans="1:8" s="27" customFormat="1" ht="29.5" customHeight="1" x14ac:dyDescent="0.2">
      <c r="A1" s="33"/>
      <c r="B1" s="33"/>
      <c r="C1" s="32"/>
    </row>
    <row r="2" spans="1:8" s="34" customFormat="1" ht="19" x14ac:dyDescent="0.2">
      <c r="A2" s="195" t="s">
        <v>549</v>
      </c>
      <c r="B2" s="195"/>
      <c r="C2" s="195"/>
      <c r="D2" s="35"/>
      <c r="E2" s="35"/>
      <c r="F2" s="35"/>
      <c r="G2" s="35"/>
      <c r="H2" s="35"/>
    </row>
    <row r="3" spans="1:8" ht="15" x14ac:dyDescent="0.2">
      <c r="A3" s="191" t="s">
        <v>37</v>
      </c>
      <c r="B3" s="192"/>
      <c r="C3" s="193"/>
      <c r="D3" s="193"/>
      <c r="E3" s="193"/>
      <c r="F3" s="193"/>
      <c r="G3" s="193"/>
      <c r="H3" s="194"/>
    </row>
    <row r="4" spans="1:8" s="70" customFormat="1" ht="30" x14ac:dyDescent="0.2">
      <c r="A4" s="68" t="s">
        <v>0</v>
      </c>
      <c r="B4" s="68" t="s">
        <v>1</v>
      </c>
      <c r="C4" s="68" t="s">
        <v>28</v>
      </c>
      <c r="D4" s="69" t="s">
        <v>9</v>
      </c>
      <c r="E4" s="69" t="s">
        <v>21</v>
      </c>
      <c r="F4" s="69" t="s">
        <v>22</v>
      </c>
      <c r="G4" s="69" t="s">
        <v>2</v>
      </c>
    </row>
    <row r="5" spans="1:8" ht="30" x14ac:dyDescent="0.2">
      <c r="A5" s="36" t="s">
        <v>550</v>
      </c>
      <c r="B5" s="37"/>
      <c r="C5" s="38"/>
      <c r="D5" s="39"/>
      <c r="E5" s="72">
        <f>AVERAGE(E6,E9)</f>
        <v>2.25</v>
      </c>
      <c r="F5" s="72">
        <v>4</v>
      </c>
      <c r="G5" s="40">
        <f>E5/F5</f>
        <v>0.5625</v>
      </c>
      <c r="H5" s="1"/>
    </row>
    <row r="6" spans="1:8" s="49" customFormat="1" ht="30" outlineLevel="1" x14ac:dyDescent="0.2">
      <c r="A6" s="48" t="s">
        <v>553</v>
      </c>
      <c r="B6" s="202"/>
      <c r="C6" s="202"/>
      <c r="D6" s="203"/>
      <c r="E6" s="73">
        <f>AVERAGE(E7:E8)</f>
        <v>3.5</v>
      </c>
      <c r="F6" s="73">
        <v>4</v>
      </c>
      <c r="G6" s="99">
        <f>E6/F6</f>
        <v>0.875</v>
      </c>
    </row>
    <row r="7" spans="1:8" ht="15" outlineLevel="2" x14ac:dyDescent="0.2">
      <c r="A7" s="145"/>
      <c r="B7" s="104" t="s">
        <v>554</v>
      </c>
      <c r="C7" s="104"/>
      <c r="D7" s="104"/>
      <c r="E7" s="41">
        <v>3</v>
      </c>
      <c r="F7" s="44">
        <v>4</v>
      </c>
      <c r="G7" s="103">
        <f t="shared" ref="G7:G16" si="0">E7/F7</f>
        <v>0.75</v>
      </c>
      <c r="H7" s="1"/>
    </row>
    <row r="8" spans="1:8" ht="15" outlineLevel="2" x14ac:dyDescent="0.2">
      <c r="A8" s="142"/>
      <c r="B8" s="102" t="s">
        <v>555</v>
      </c>
      <c r="C8" s="104"/>
      <c r="D8" s="104"/>
      <c r="E8" s="41">
        <v>4</v>
      </c>
      <c r="F8" s="45">
        <v>4</v>
      </c>
      <c r="G8" s="75">
        <f t="shared" si="0"/>
        <v>1</v>
      </c>
      <c r="H8" s="1"/>
    </row>
    <row r="9" spans="1:8" ht="30" outlineLevel="1" x14ac:dyDescent="0.2">
      <c r="A9" s="97" t="s">
        <v>556</v>
      </c>
      <c r="B9" s="200"/>
      <c r="C9" s="200"/>
      <c r="D9" s="201"/>
      <c r="E9" s="96">
        <f>AVERAGE(E10:E11)</f>
        <v>1</v>
      </c>
      <c r="F9" s="96">
        <v>4</v>
      </c>
      <c r="G9" s="99">
        <f>E9/F9</f>
        <v>0.25</v>
      </c>
      <c r="H9" s="1"/>
    </row>
    <row r="10" spans="1:8" ht="75" outlineLevel="2" x14ac:dyDescent="0.2">
      <c r="A10" s="142"/>
      <c r="B10" s="102" t="s">
        <v>557</v>
      </c>
      <c r="C10" s="102"/>
      <c r="D10" s="102"/>
      <c r="E10" s="41">
        <v>1</v>
      </c>
      <c r="F10" s="45">
        <v>4</v>
      </c>
      <c r="G10" s="75">
        <f t="shared" si="0"/>
        <v>0.25</v>
      </c>
      <c r="H10" s="1"/>
    </row>
    <row r="11" spans="1:8" ht="45" outlineLevel="2" x14ac:dyDescent="0.2">
      <c r="A11" s="142"/>
      <c r="B11" s="102" t="s">
        <v>558</v>
      </c>
      <c r="C11" s="102"/>
      <c r="D11" s="102"/>
      <c r="E11" s="41">
        <v>1</v>
      </c>
      <c r="F11" s="45">
        <v>4</v>
      </c>
      <c r="G11" s="75">
        <f t="shared" si="0"/>
        <v>0.25</v>
      </c>
      <c r="H11" s="1"/>
    </row>
    <row r="12" spans="1:8" ht="30" outlineLevel="1" x14ac:dyDescent="0.2">
      <c r="A12" s="97" t="s">
        <v>559</v>
      </c>
      <c r="B12" s="200"/>
      <c r="C12" s="200"/>
      <c r="D12" s="201"/>
      <c r="E12" s="96">
        <f>AVERAGE(E13:E16)</f>
        <v>2.5</v>
      </c>
      <c r="F12" s="96">
        <v>4</v>
      </c>
      <c r="G12" s="99">
        <f>E12/F12</f>
        <v>0.625</v>
      </c>
      <c r="H12" s="1"/>
    </row>
    <row r="13" spans="1:8" ht="15" outlineLevel="2" x14ac:dyDescent="0.2">
      <c r="A13" s="142"/>
      <c r="B13" s="102" t="s">
        <v>561</v>
      </c>
      <c r="C13" s="102"/>
      <c r="D13" s="102"/>
      <c r="E13" s="41">
        <v>2</v>
      </c>
      <c r="F13" s="45">
        <v>4</v>
      </c>
      <c r="G13" s="75">
        <f t="shared" si="0"/>
        <v>0.5</v>
      </c>
      <c r="H13" s="1"/>
    </row>
    <row r="14" spans="1:8" ht="15" outlineLevel="2" x14ac:dyDescent="0.2">
      <c r="A14" s="142"/>
      <c r="B14" s="102" t="s">
        <v>562</v>
      </c>
      <c r="C14" s="102"/>
      <c r="D14" s="102"/>
      <c r="E14" s="41">
        <v>3</v>
      </c>
      <c r="F14" s="45">
        <v>4</v>
      </c>
      <c r="G14" s="75">
        <f t="shared" si="0"/>
        <v>0.75</v>
      </c>
      <c r="H14" s="1"/>
    </row>
    <row r="15" spans="1:8" ht="15" outlineLevel="2" x14ac:dyDescent="0.2">
      <c r="A15" s="142"/>
      <c r="B15" s="102" t="s">
        <v>563</v>
      </c>
      <c r="C15" s="102"/>
      <c r="D15" s="102"/>
      <c r="E15" s="41">
        <v>3</v>
      </c>
      <c r="F15" s="45">
        <v>4</v>
      </c>
      <c r="G15" s="75">
        <f t="shared" si="0"/>
        <v>0.75</v>
      </c>
      <c r="H15" s="1"/>
    </row>
    <row r="16" spans="1:8" ht="15" outlineLevel="2" x14ac:dyDescent="0.2">
      <c r="A16" s="142"/>
      <c r="B16" s="102" t="s">
        <v>564</v>
      </c>
      <c r="C16" s="102"/>
      <c r="D16" s="102"/>
      <c r="E16" s="41">
        <v>2</v>
      </c>
      <c r="F16" s="45">
        <v>4</v>
      </c>
      <c r="G16" s="75">
        <f t="shared" si="0"/>
        <v>0.5</v>
      </c>
      <c r="H16" s="1"/>
    </row>
    <row r="17" spans="1:8" ht="15" x14ac:dyDescent="0.2">
      <c r="A17" s="97" t="s">
        <v>560</v>
      </c>
      <c r="B17" s="200"/>
      <c r="C17" s="200"/>
      <c r="D17" s="201"/>
      <c r="E17" s="96">
        <f>AVERAGE(E18:E22)</f>
        <v>2</v>
      </c>
      <c r="F17" s="96">
        <v>4</v>
      </c>
      <c r="G17" s="99">
        <f>E17/F17</f>
        <v>0.5</v>
      </c>
      <c r="H17" s="1"/>
    </row>
    <row r="18" spans="1:8" ht="15" x14ac:dyDescent="0.2">
      <c r="B18" s="102" t="s">
        <v>565</v>
      </c>
      <c r="D18" s="102"/>
      <c r="E18" s="41">
        <v>3</v>
      </c>
      <c r="F18" s="45">
        <v>4</v>
      </c>
      <c r="G18" s="75">
        <f t="shared" ref="G18" si="1">E18/F18</f>
        <v>0.75</v>
      </c>
      <c r="H18" s="1">
        <v>3.75</v>
      </c>
    </row>
    <row r="19" spans="1:8" ht="60" x14ac:dyDescent="0.2">
      <c r="B19" s="102" t="s">
        <v>566</v>
      </c>
      <c r="D19" s="102"/>
      <c r="E19" s="41">
        <v>1</v>
      </c>
      <c r="F19" s="45">
        <v>4</v>
      </c>
      <c r="G19" s="75">
        <f t="shared" ref="G19" si="2">E19/F19</f>
        <v>0.25</v>
      </c>
      <c r="H19" s="1">
        <v>1</v>
      </c>
    </row>
    <row r="20" spans="1:8" x14ac:dyDescent="0.2">
      <c r="B20" s="102"/>
      <c r="F20" s="1"/>
      <c r="G20" s="1"/>
      <c r="H20" s="1"/>
    </row>
    <row r="21" spans="1:8" x14ac:dyDescent="0.2">
      <c r="B21" s="102"/>
      <c r="F21" s="1"/>
      <c r="G21" s="1"/>
      <c r="H21" s="1"/>
    </row>
    <row r="22" spans="1:8" x14ac:dyDescent="0.2">
      <c r="B22" s="102"/>
      <c r="F22" s="1"/>
      <c r="G22" s="1"/>
      <c r="H22" s="1"/>
    </row>
    <row r="23" spans="1:8" x14ac:dyDescent="0.2">
      <c r="B23" s="102"/>
      <c r="F23" s="1"/>
      <c r="G23" s="1"/>
      <c r="H23" s="1"/>
    </row>
    <row r="24" spans="1:8" x14ac:dyDescent="0.2">
      <c r="B24" s="102"/>
      <c r="F24" s="1"/>
      <c r="G24" s="1"/>
      <c r="H24" s="1"/>
    </row>
    <row r="25" spans="1:8" x14ac:dyDescent="0.2">
      <c r="F25" s="1"/>
      <c r="G25" s="1"/>
      <c r="H25" s="1"/>
    </row>
    <row r="26" spans="1:8" x14ac:dyDescent="0.2">
      <c r="F26" s="1"/>
      <c r="G26" s="1"/>
      <c r="H26" s="1"/>
    </row>
    <row r="27" spans="1:8" x14ac:dyDescent="0.2">
      <c r="F27" s="1"/>
      <c r="G27" s="1"/>
      <c r="H27" s="1"/>
    </row>
    <row r="28" spans="1:8" x14ac:dyDescent="0.2">
      <c r="F28" s="1"/>
      <c r="G28" s="1"/>
      <c r="H28" s="1"/>
    </row>
    <row r="29" spans="1:8" x14ac:dyDescent="0.2">
      <c r="F29" s="1"/>
      <c r="G29" s="1"/>
      <c r="H29" s="1"/>
    </row>
    <row r="30" spans="1:8" x14ac:dyDescent="0.2">
      <c r="F30" s="1"/>
      <c r="G30" s="1"/>
      <c r="H30" s="1"/>
    </row>
    <row r="31" spans="1:8" x14ac:dyDescent="0.2">
      <c r="F31" s="1"/>
      <c r="G31" s="1"/>
      <c r="H31" s="1"/>
    </row>
    <row r="32" spans="1:8" x14ac:dyDescent="0.2">
      <c r="F32" s="1"/>
      <c r="G32" s="1"/>
      <c r="H32" s="1"/>
    </row>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row r="48"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1" customFormat="1" x14ac:dyDescent="0.2"/>
    <row r="66" s="1" customFormat="1" x14ac:dyDescent="0.2"/>
    <row r="67" s="1" customFormat="1" x14ac:dyDescent="0.2"/>
    <row r="68" s="1" customFormat="1" x14ac:dyDescent="0.2"/>
    <row r="69" s="1" customFormat="1" x14ac:dyDescent="0.2"/>
    <row r="70" s="1" customFormat="1" x14ac:dyDescent="0.2"/>
    <row r="71" s="1" customFormat="1" x14ac:dyDescent="0.2"/>
    <row r="72" s="1" customFormat="1" x14ac:dyDescent="0.2"/>
    <row r="73" s="1" customFormat="1" x14ac:dyDescent="0.2"/>
    <row r="74" s="1" customFormat="1" x14ac:dyDescent="0.2"/>
    <row r="75" s="1" customFormat="1" x14ac:dyDescent="0.2"/>
    <row r="76" s="1" customFormat="1" x14ac:dyDescent="0.2"/>
    <row r="77" s="1" customFormat="1" x14ac:dyDescent="0.2"/>
    <row r="78" s="1" customFormat="1" x14ac:dyDescent="0.2"/>
    <row r="79" s="1" customFormat="1" x14ac:dyDescent="0.2"/>
    <row r="80" s="1" customFormat="1" x14ac:dyDescent="0.2"/>
    <row r="81" s="1" customFormat="1" x14ac:dyDescent="0.2"/>
    <row r="82" s="1" customFormat="1" x14ac:dyDescent="0.2"/>
    <row r="83" s="1" customFormat="1" x14ac:dyDescent="0.2"/>
    <row r="84" s="1" customFormat="1" x14ac:dyDescent="0.2"/>
    <row r="85" s="1" customFormat="1" x14ac:dyDescent="0.2"/>
    <row r="86" s="1" customFormat="1" x14ac:dyDescent="0.2"/>
    <row r="87" s="1" customFormat="1" x14ac:dyDescent="0.2"/>
    <row r="88" s="1" customFormat="1" x14ac:dyDescent="0.2"/>
    <row r="89" s="1" customFormat="1" x14ac:dyDescent="0.2"/>
    <row r="90" s="1" customFormat="1" x14ac:dyDescent="0.2"/>
    <row r="91" s="1" customFormat="1" x14ac:dyDescent="0.2"/>
    <row r="92" s="1" customFormat="1" x14ac:dyDescent="0.2"/>
    <row r="93" s="1" customFormat="1" x14ac:dyDescent="0.2"/>
    <row r="94" s="1" customFormat="1" x14ac:dyDescent="0.2"/>
    <row r="95" s="1" customFormat="1" x14ac:dyDescent="0.2"/>
    <row r="96" s="1" customFormat="1" x14ac:dyDescent="0.2"/>
    <row r="97" s="1" customFormat="1" x14ac:dyDescent="0.2"/>
    <row r="98" s="1" customFormat="1" x14ac:dyDescent="0.2"/>
    <row r="99" s="1" customFormat="1" x14ac:dyDescent="0.2"/>
    <row r="100" s="1" customFormat="1" x14ac:dyDescent="0.2"/>
    <row r="101" s="1" customFormat="1" x14ac:dyDescent="0.2"/>
    <row r="102" s="1" customFormat="1" x14ac:dyDescent="0.2"/>
    <row r="103" s="1" customFormat="1" x14ac:dyDescent="0.2"/>
    <row r="104" s="1" customFormat="1" x14ac:dyDescent="0.2"/>
    <row r="105" s="1" customFormat="1" x14ac:dyDescent="0.2"/>
    <row r="106" s="1" customFormat="1" x14ac:dyDescent="0.2"/>
    <row r="107" s="1" customFormat="1" x14ac:dyDescent="0.2"/>
    <row r="108" s="1" customFormat="1" x14ac:dyDescent="0.2"/>
    <row r="109" s="1" customFormat="1" x14ac:dyDescent="0.2"/>
    <row r="110" s="1" customFormat="1" x14ac:dyDescent="0.2"/>
    <row r="111" s="1" customFormat="1" x14ac:dyDescent="0.2"/>
    <row r="112" s="1" customFormat="1" x14ac:dyDescent="0.2"/>
    <row r="113" s="1" customFormat="1" x14ac:dyDescent="0.2"/>
    <row r="114" s="1" customFormat="1" x14ac:dyDescent="0.2"/>
    <row r="115" s="1" customFormat="1" x14ac:dyDescent="0.2"/>
    <row r="116" s="1" customFormat="1" x14ac:dyDescent="0.2"/>
    <row r="117" s="1" customFormat="1" x14ac:dyDescent="0.2"/>
    <row r="118" s="1" customFormat="1" x14ac:dyDescent="0.2"/>
    <row r="119" s="1" customFormat="1" x14ac:dyDescent="0.2"/>
    <row r="120" s="1" customFormat="1" x14ac:dyDescent="0.2"/>
    <row r="121" s="1" customFormat="1" x14ac:dyDescent="0.2"/>
    <row r="122" s="1" customFormat="1" x14ac:dyDescent="0.2"/>
    <row r="123" s="1" customFormat="1" x14ac:dyDescent="0.2"/>
    <row r="124" s="1" customFormat="1" x14ac:dyDescent="0.2"/>
    <row r="125" s="1" customFormat="1" x14ac:dyDescent="0.2"/>
    <row r="126" s="1" customFormat="1" x14ac:dyDescent="0.2"/>
    <row r="127" s="1" customFormat="1" x14ac:dyDescent="0.2"/>
    <row r="128" s="1" customFormat="1" x14ac:dyDescent="0.2"/>
    <row r="129" s="1" customFormat="1" x14ac:dyDescent="0.2"/>
  </sheetData>
  <dataConsolidate/>
  <mergeCells count="6">
    <mergeCell ref="B17:D17"/>
    <mergeCell ref="A2:C2"/>
    <mergeCell ref="A3:H3"/>
    <mergeCell ref="B9:D9"/>
    <mergeCell ref="B6:D6"/>
    <mergeCell ref="B12:D12"/>
  </mergeCells>
  <conditionalFormatting sqref="E7:E8">
    <cfRule type="cellIs" dxfId="34" priority="16" operator="equal">
      <formula>4</formula>
    </cfRule>
    <cfRule type="cellIs" dxfId="33" priority="17" operator="equal">
      <formula>3</formula>
    </cfRule>
    <cfRule type="cellIs" dxfId="32" priority="18" operator="equal">
      <formula>2</formula>
    </cfRule>
    <cfRule type="cellIs" dxfId="31" priority="19" operator="equal">
      <formula>1</formula>
    </cfRule>
    <cfRule type="cellIs" dxfId="30" priority="20" operator="equal">
      <formula>0</formula>
    </cfRule>
  </conditionalFormatting>
  <conditionalFormatting sqref="E10:E11">
    <cfRule type="cellIs" dxfId="29" priority="11" operator="equal">
      <formula>4</formula>
    </cfRule>
    <cfRule type="cellIs" dxfId="28" priority="12" operator="equal">
      <formula>3</formula>
    </cfRule>
    <cfRule type="cellIs" dxfId="27" priority="13" operator="equal">
      <formula>2</formula>
    </cfRule>
    <cfRule type="cellIs" dxfId="26" priority="14" operator="equal">
      <formula>1</formula>
    </cfRule>
    <cfRule type="cellIs" dxfId="25" priority="15" operator="equal">
      <formula>0</formula>
    </cfRule>
  </conditionalFormatting>
  <conditionalFormatting sqref="E13:E16">
    <cfRule type="cellIs" dxfId="24" priority="6" operator="equal">
      <formula>4</formula>
    </cfRule>
    <cfRule type="cellIs" dxfId="23" priority="7" operator="equal">
      <formula>3</formula>
    </cfRule>
    <cfRule type="cellIs" dxfId="22" priority="8" operator="equal">
      <formula>2</formula>
    </cfRule>
    <cfRule type="cellIs" dxfId="21" priority="9" operator="equal">
      <formula>1</formula>
    </cfRule>
    <cfRule type="cellIs" dxfId="20" priority="10" operator="equal">
      <formula>0</formula>
    </cfRule>
  </conditionalFormatting>
  <conditionalFormatting sqref="E18:E19">
    <cfRule type="cellIs" dxfId="19" priority="1" operator="equal">
      <formula>4</formula>
    </cfRule>
    <cfRule type="cellIs" dxfId="18" priority="2" operator="equal">
      <formula>3</formula>
    </cfRule>
    <cfRule type="cellIs" dxfId="17" priority="3" operator="equal">
      <formula>2</formula>
    </cfRule>
    <cfRule type="cellIs" dxfId="16" priority="4" operator="equal">
      <formula>1</formula>
    </cfRule>
    <cfRule type="cellIs" dxfId="15" priority="5" operator="equal">
      <formula>0</formula>
    </cfRule>
  </conditionalFormatting>
  <printOptions headings="1"/>
  <pageMargins left="0.25" right="0.25" top="0.75" bottom="0.75" header="0.3" footer="0.3"/>
  <pageSetup scale="69" fitToWidth="2" fitToHeight="2" orientation="portrait"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'CSF Tiers'!$B$4:$B$8</xm:f>
          </x14:formula1>
          <xm:sqref>E10:E11 E7:E8 E13:E16 E18:E19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pageSetUpPr fitToPage="1"/>
  </sheetPr>
  <dimension ref="A1:G17"/>
  <sheetViews>
    <sheetView zoomScale="120" zoomScaleNormal="120" zoomScalePageLayoutView="70" workbookViewId="0">
      <pane ySplit="5" topLeftCell="A6" activePane="bottomLeft" state="frozen"/>
      <selection pane="bottomLeft" activeCell="C15" sqref="C15:D16"/>
    </sheetView>
  </sheetViews>
  <sheetFormatPr baseColWidth="10" defaultColWidth="8.6640625" defaultRowHeight="14" outlineLevelRow="2" x14ac:dyDescent="0.2"/>
  <cols>
    <col min="1" max="1" width="26.6640625" style="6" customWidth="1"/>
    <col min="2" max="2" width="87.33203125" style="6" bestFit="1" customWidth="1"/>
    <col min="3" max="3" width="14.6640625" style="6" bestFit="1" customWidth="1"/>
    <col min="4" max="4" width="21.6640625" style="6" bestFit="1" customWidth="1"/>
    <col min="5" max="5" width="18.5" style="6" bestFit="1" customWidth="1"/>
    <col min="6" max="7" width="10.6640625" style="13" customWidth="1"/>
    <col min="8" max="16384" width="8.6640625" style="6"/>
  </cols>
  <sheetData>
    <row r="1" spans="1:7" s="27" customFormat="1" ht="29.25" customHeight="1" x14ac:dyDescent="0.2">
      <c r="A1" s="33"/>
      <c r="B1" s="33"/>
      <c r="C1" s="32"/>
    </row>
    <row r="2" spans="1:7" s="34" customFormat="1" ht="29.25" customHeight="1" x14ac:dyDescent="0.2">
      <c r="A2" s="195" t="s">
        <v>551</v>
      </c>
      <c r="B2" s="195"/>
      <c r="C2" s="195"/>
      <c r="D2" s="35"/>
      <c r="E2" s="35"/>
      <c r="F2" s="35"/>
      <c r="G2" s="35"/>
    </row>
    <row r="3" spans="1:7" s="1" customFormat="1" ht="31.5" customHeight="1" x14ac:dyDescent="0.2">
      <c r="A3" s="191" t="s">
        <v>37</v>
      </c>
      <c r="B3" s="192"/>
      <c r="C3" s="193"/>
      <c r="D3" s="193"/>
      <c r="E3" s="193"/>
      <c r="F3" s="193"/>
      <c r="G3" s="193"/>
    </row>
    <row r="4" spans="1:7" s="70" customFormat="1" ht="42.75" customHeight="1" x14ac:dyDescent="0.2">
      <c r="A4" s="68" t="s">
        <v>0</v>
      </c>
      <c r="B4" s="68" t="s">
        <v>1</v>
      </c>
      <c r="C4" s="68" t="s">
        <v>28</v>
      </c>
      <c r="D4" s="69" t="s">
        <v>9</v>
      </c>
      <c r="E4" s="69" t="s">
        <v>21</v>
      </c>
      <c r="F4" s="69" t="s">
        <v>22</v>
      </c>
      <c r="G4" s="69" t="s">
        <v>2</v>
      </c>
    </row>
    <row r="5" spans="1:7" s="1" customFormat="1" ht="30" x14ac:dyDescent="0.2">
      <c r="A5" s="36" t="s">
        <v>552</v>
      </c>
      <c r="B5" s="37"/>
      <c r="C5" s="38"/>
      <c r="D5" s="39"/>
      <c r="E5" s="72">
        <f>AVERAGE(E6,E9,E14)</f>
        <v>2.25</v>
      </c>
      <c r="F5" s="72">
        <f>AVERAGE(F6,F9,F14)</f>
        <v>4</v>
      </c>
      <c r="G5" s="40">
        <f>E5/F5</f>
        <v>0.5625</v>
      </c>
    </row>
    <row r="6" spans="1:7" s="1" customFormat="1" ht="15" outlineLevel="1" x14ac:dyDescent="0.2">
      <c r="A6" s="97" t="s">
        <v>567</v>
      </c>
      <c r="B6" s="200"/>
      <c r="C6" s="200"/>
      <c r="D6" s="201"/>
      <c r="E6" s="96">
        <f>AVERAGE(E7:E7)</f>
        <v>2</v>
      </c>
      <c r="F6" s="96">
        <f>AVERAGE(F7:F7)</f>
        <v>4</v>
      </c>
      <c r="G6" s="99">
        <f>E6/F6</f>
        <v>0.5</v>
      </c>
    </row>
    <row r="7" spans="1:7" ht="143" outlineLevel="2" x14ac:dyDescent="0.2">
      <c r="A7" s="146"/>
      <c r="B7" s="111" t="s">
        <v>570</v>
      </c>
      <c r="C7" s="102"/>
      <c r="D7" s="102"/>
      <c r="E7" s="41">
        <v>2</v>
      </c>
      <c r="F7" s="47">
        <v>4</v>
      </c>
      <c r="G7" s="75">
        <f t="shared" ref="G7" si="0">E7/F7</f>
        <v>0.5</v>
      </c>
    </row>
    <row r="8" spans="1:7" outlineLevel="2" x14ac:dyDescent="0.2">
      <c r="A8" s="148"/>
      <c r="B8" s="149" t="s">
        <v>571</v>
      </c>
      <c r="C8" s="102"/>
      <c r="D8" s="102"/>
      <c r="E8" s="41">
        <v>3</v>
      </c>
      <c r="F8" s="47">
        <v>4</v>
      </c>
      <c r="G8" s="75">
        <f t="shared" ref="G8" si="1">E8/F8</f>
        <v>0.75</v>
      </c>
    </row>
    <row r="9" spans="1:7" s="1" customFormat="1" ht="15" outlineLevel="1" x14ac:dyDescent="0.2">
      <c r="A9" s="97" t="s">
        <v>568</v>
      </c>
      <c r="B9" s="200"/>
      <c r="C9" s="200"/>
      <c r="D9" s="201"/>
      <c r="E9" s="96">
        <f>AVERAGE(E10:E13)</f>
        <v>1.75</v>
      </c>
      <c r="F9" s="96">
        <f>AVERAGE(F10:F13)</f>
        <v>4</v>
      </c>
      <c r="G9" s="99">
        <f>E9/F9</f>
        <v>0.4375</v>
      </c>
    </row>
    <row r="10" spans="1:7" outlineLevel="2" x14ac:dyDescent="0.2">
      <c r="A10" s="147"/>
      <c r="B10" s="110" t="s">
        <v>572</v>
      </c>
      <c r="C10" s="110"/>
      <c r="D10" s="110"/>
      <c r="E10" s="41">
        <v>3</v>
      </c>
      <c r="F10" s="46">
        <v>4</v>
      </c>
      <c r="G10" s="75">
        <f t="shared" ref="G10:G16" si="2">E10/F10</f>
        <v>0.75</v>
      </c>
    </row>
    <row r="11" spans="1:7" outlineLevel="2" x14ac:dyDescent="0.2">
      <c r="A11" s="147"/>
      <c r="B11" s="110" t="s">
        <v>575</v>
      </c>
      <c r="C11" s="110"/>
      <c r="D11" s="110"/>
      <c r="E11" s="41">
        <v>1</v>
      </c>
      <c r="F11" s="46">
        <v>4</v>
      </c>
      <c r="G11" s="75">
        <f t="shared" si="2"/>
        <v>0.25</v>
      </c>
    </row>
    <row r="12" spans="1:7" outlineLevel="2" x14ac:dyDescent="0.2">
      <c r="A12" s="147"/>
      <c r="B12" s="110" t="s">
        <v>574</v>
      </c>
      <c r="C12" s="110"/>
      <c r="D12" s="110"/>
      <c r="E12" s="41">
        <v>2</v>
      </c>
      <c r="F12" s="46">
        <v>4</v>
      </c>
      <c r="G12" s="75">
        <f t="shared" si="2"/>
        <v>0.5</v>
      </c>
    </row>
    <row r="13" spans="1:7" outlineLevel="2" x14ac:dyDescent="0.2">
      <c r="A13" s="147"/>
      <c r="B13" s="110" t="s">
        <v>573</v>
      </c>
      <c r="C13" s="110"/>
      <c r="D13" s="110"/>
      <c r="E13" s="41">
        <v>1</v>
      </c>
      <c r="F13" s="46">
        <v>4</v>
      </c>
      <c r="G13" s="75">
        <f t="shared" si="2"/>
        <v>0.25</v>
      </c>
    </row>
    <row r="14" spans="1:7" s="1" customFormat="1" ht="15" outlineLevel="1" x14ac:dyDescent="0.2">
      <c r="A14" s="97" t="s">
        <v>569</v>
      </c>
      <c r="B14" s="200"/>
      <c r="C14" s="200"/>
      <c r="D14" s="201"/>
      <c r="E14" s="96">
        <f>AVERAGE(E15:E18)</f>
        <v>3</v>
      </c>
      <c r="F14" s="96">
        <f>AVERAGE(F15:F18)</f>
        <v>4</v>
      </c>
      <c r="G14" s="99">
        <f>E14/F14</f>
        <v>0.75</v>
      </c>
    </row>
    <row r="15" spans="1:7" outlineLevel="2" x14ac:dyDescent="0.2">
      <c r="A15" s="147"/>
      <c r="B15" s="110" t="s">
        <v>576</v>
      </c>
      <c r="C15" s="110"/>
      <c r="D15" s="110"/>
      <c r="E15" s="41">
        <v>3</v>
      </c>
      <c r="F15" s="46">
        <v>4</v>
      </c>
      <c r="G15" s="75">
        <f t="shared" si="2"/>
        <v>0.75</v>
      </c>
    </row>
    <row r="16" spans="1:7" outlineLevel="2" x14ac:dyDescent="0.2">
      <c r="A16" s="147"/>
      <c r="B16" s="110" t="s">
        <v>577</v>
      </c>
      <c r="C16" s="110"/>
      <c r="D16" s="110"/>
      <c r="E16" s="41">
        <v>3</v>
      </c>
      <c r="F16" s="46">
        <v>4</v>
      </c>
      <c r="G16" s="75">
        <f t="shared" si="2"/>
        <v>0.75</v>
      </c>
    </row>
    <row r="17" spans="1:7" x14ac:dyDescent="0.2">
      <c r="A17" s="109"/>
      <c r="B17" s="109"/>
      <c r="C17" s="109"/>
      <c r="D17" s="109"/>
      <c r="E17" s="109"/>
      <c r="F17" s="14"/>
      <c r="G17" s="14"/>
    </row>
  </sheetData>
  <mergeCells count="5">
    <mergeCell ref="B9:D9"/>
    <mergeCell ref="A2:C2"/>
    <mergeCell ref="A3:G3"/>
    <mergeCell ref="B6:D6"/>
    <mergeCell ref="B14:D14"/>
  </mergeCells>
  <conditionalFormatting sqref="E7:E8">
    <cfRule type="cellIs" dxfId="14" priority="1" operator="equal">
      <formula>4</formula>
    </cfRule>
    <cfRule type="cellIs" dxfId="13" priority="2" operator="equal">
      <formula>3</formula>
    </cfRule>
    <cfRule type="cellIs" dxfId="12" priority="3" operator="equal">
      <formula>2</formula>
    </cfRule>
    <cfRule type="cellIs" dxfId="11" priority="4" operator="equal">
      <formula>1</formula>
    </cfRule>
    <cfRule type="cellIs" dxfId="10" priority="5" operator="equal">
      <formula>0</formula>
    </cfRule>
  </conditionalFormatting>
  <conditionalFormatting sqref="E10:E13">
    <cfRule type="cellIs" dxfId="9" priority="21" operator="equal">
      <formula>4</formula>
    </cfRule>
    <cfRule type="cellIs" dxfId="8" priority="22" operator="equal">
      <formula>3</formula>
    </cfRule>
    <cfRule type="cellIs" dxfId="7" priority="23" operator="equal">
      <formula>2</formula>
    </cfRule>
    <cfRule type="cellIs" dxfId="6" priority="24" operator="equal">
      <formula>1</formula>
    </cfRule>
    <cfRule type="cellIs" dxfId="5" priority="25" operator="equal">
      <formula>0</formula>
    </cfRule>
  </conditionalFormatting>
  <conditionalFormatting sqref="E15:E16">
    <cfRule type="cellIs" dxfId="4" priority="16" operator="equal">
      <formula>4</formula>
    </cfRule>
    <cfRule type="cellIs" dxfId="3" priority="17" operator="equal">
      <formula>3</formula>
    </cfRule>
    <cfRule type="cellIs" dxfId="2" priority="18" operator="equal">
      <formula>2</formula>
    </cfRule>
    <cfRule type="cellIs" dxfId="1" priority="19" operator="equal">
      <formula>1</formula>
    </cfRule>
    <cfRule type="cellIs" dxfId="0" priority="20" operator="equal">
      <formula>0</formula>
    </cfRule>
  </conditionalFormatting>
  <printOptions horizontalCentered="1"/>
  <pageMargins left="0.3" right="0.3" top="0.25" bottom="0.5" header="0.25" footer="0.3"/>
  <pageSetup scale="78" fitToHeight="0" orientation="landscape" r:id="rId1"/>
  <headerFooter scaleWithDoc="0" alignWithMargins="0">
    <oddFooter>&amp;L&amp;8Page &amp;P of &amp;N&amp;C&amp;8&amp;KC00000Contents of this document are not transferrable or reusable in whole or in part without written consent of Vigilant, LLC&amp;R&amp;8copyright 2011, Vigilant, LLC</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600-000000000000}">
          <x14:formula1>
            <xm:f>'CSF Tiers'!$B$4:$B$8</xm:f>
          </x14:formula1>
          <xm:sqref>E10:E13 E15:E16 E7:E8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D358"/>
  <sheetViews>
    <sheetView topLeftCell="A276" zoomScaleNormal="100" zoomScalePageLayoutView="150" workbookViewId="0">
      <selection activeCell="C318" sqref="C318"/>
    </sheetView>
  </sheetViews>
  <sheetFormatPr baseColWidth="10" defaultColWidth="12.5" defaultRowHeight="12" x14ac:dyDescent="0.15"/>
  <cols>
    <col min="1" max="1" width="23.6640625" style="131" customWidth="1"/>
    <col min="2" max="2" width="41.33203125" style="131" customWidth="1"/>
    <col min="3" max="3" width="42.33203125" style="131" customWidth="1"/>
    <col min="4" max="4" width="62.5" style="131" customWidth="1"/>
    <col min="5" max="16384" width="12.5" style="131"/>
  </cols>
  <sheetData>
    <row r="1" spans="1:4" s="128" customFormat="1" ht="29.25" customHeight="1" x14ac:dyDescent="0.2">
      <c r="A1" s="127"/>
      <c r="B1" s="63" t="s">
        <v>20</v>
      </c>
    </row>
    <row r="2" spans="1:4" ht="14" thickBot="1" x14ac:dyDescent="0.2">
      <c r="A2" s="129" t="s">
        <v>15</v>
      </c>
      <c r="B2" s="130" t="s">
        <v>0</v>
      </c>
      <c r="C2" s="130" t="s">
        <v>16</v>
      </c>
      <c r="D2" s="130" t="s">
        <v>17</v>
      </c>
    </row>
    <row r="3" spans="1:4" ht="13" x14ac:dyDescent="0.15">
      <c r="A3" s="222" t="s">
        <v>487</v>
      </c>
      <c r="B3" s="207" t="s">
        <v>50</v>
      </c>
      <c r="C3" s="210" t="s">
        <v>51</v>
      </c>
      <c r="D3" s="132" t="s">
        <v>52</v>
      </c>
    </row>
    <row r="4" spans="1:4" ht="13" x14ac:dyDescent="0.15">
      <c r="A4" s="216"/>
      <c r="B4" s="208"/>
      <c r="C4" s="211"/>
      <c r="D4" s="132" t="s">
        <v>53</v>
      </c>
    </row>
    <row r="5" spans="1:4" ht="13" x14ac:dyDescent="0.15">
      <c r="A5" s="216"/>
      <c r="B5" s="208"/>
      <c r="C5" s="211"/>
      <c r="D5" s="132" t="s">
        <v>54</v>
      </c>
    </row>
    <row r="6" spans="1:4" ht="13" x14ac:dyDescent="0.15">
      <c r="A6" s="216"/>
      <c r="B6" s="208"/>
      <c r="C6" s="211"/>
      <c r="D6" s="132" t="s">
        <v>55</v>
      </c>
    </row>
    <row r="7" spans="1:4" ht="13" x14ac:dyDescent="0.15">
      <c r="A7" s="216"/>
      <c r="B7" s="208"/>
      <c r="C7" s="211"/>
      <c r="D7" s="132" t="s">
        <v>56</v>
      </c>
    </row>
    <row r="8" spans="1:4" ht="14" thickBot="1" x14ac:dyDescent="0.2">
      <c r="A8" s="216"/>
      <c r="B8" s="208"/>
      <c r="C8" s="212"/>
      <c r="D8" s="133" t="s">
        <v>57</v>
      </c>
    </row>
    <row r="9" spans="1:4" ht="13" x14ac:dyDescent="0.15">
      <c r="A9" s="216"/>
      <c r="B9" s="208"/>
      <c r="C9" s="210" t="s">
        <v>58</v>
      </c>
      <c r="D9" s="132" t="s">
        <v>59</v>
      </c>
    </row>
    <row r="10" spans="1:4" ht="13" x14ac:dyDescent="0.15">
      <c r="A10" s="216"/>
      <c r="B10" s="208"/>
      <c r="C10" s="211"/>
      <c r="D10" s="132" t="s">
        <v>60</v>
      </c>
    </row>
    <row r="11" spans="1:4" ht="13" x14ac:dyDescent="0.15">
      <c r="A11" s="216"/>
      <c r="B11" s="208"/>
      <c r="C11" s="211"/>
      <c r="D11" s="132" t="s">
        <v>54</v>
      </c>
    </row>
    <row r="12" spans="1:4" ht="13" x14ac:dyDescent="0.15">
      <c r="A12" s="216"/>
      <c r="B12" s="208"/>
      <c r="C12" s="211"/>
      <c r="D12" s="132" t="s">
        <v>55</v>
      </c>
    </row>
    <row r="13" spans="1:4" ht="13" x14ac:dyDescent="0.15">
      <c r="A13" s="216"/>
      <c r="B13" s="208"/>
      <c r="C13" s="211"/>
      <c r="D13" s="132" t="s">
        <v>56</v>
      </c>
    </row>
    <row r="14" spans="1:4" ht="14" thickBot="1" x14ac:dyDescent="0.2">
      <c r="A14" s="216"/>
      <c r="B14" s="208"/>
      <c r="C14" s="212"/>
      <c r="D14" s="133" t="s">
        <v>57</v>
      </c>
    </row>
    <row r="15" spans="1:4" ht="13" x14ac:dyDescent="0.15">
      <c r="A15" s="216"/>
      <c r="B15" s="208"/>
      <c r="C15" s="210" t="s">
        <v>61</v>
      </c>
      <c r="D15" s="134" t="s">
        <v>62</v>
      </c>
    </row>
    <row r="16" spans="1:4" ht="13" x14ac:dyDescent="0.15">
      <c r="A16" s="216"/>
      <c r="B16" s="208"/>
      <c r="C16" s="211"/>
      <c r="D16" s="134" t="s">
        <v>63</v>
      </c>
    </row>
    <row r="17" spans="1:4" ht="13" x14ac:dyDescent="0.15">
      <c r="A17" s="216"/>
      <c r="B17" s="208"/>
      <c r="C17" s="211"/>
      <c r="D17" s="134" t="s">
        <v>64</v>
      </c>
    </row>
    <row r="18" spans="1:4" ht="13" x14ac:dyDescent="0.15">
      <c r="A18" s="216"/>
      <c r="B18" s="208"/>
      <c r="C18" s="211"/>
      <c r="D18" s="134" t="s">
        <v>65</v>
      </c>
    </row>
    <row r="19" spans="1:4" ht="14" thickBot="1" x14ac:dyDescent="0.2">
      <c r="A19" s="216"/>
      <c r="B19" s="208"/>
      <c r="C19" s="212"/>
      <c r="D19" s="135" t="s">
        <v>66</v>
      </c>
    </row>
    <row r="20" spans="1:4" ht="13" x14ac:dyDescent="0.15">
      <c r="A20" s="216"/>
      <c r="B20" s="208"/>
      <c r="C20" s="210" t="s">
        <v>67</v>
      </c>
      <c r="D20" s="134" t="s">
        <v>68</v>
      </c>
    </row>
    <row r="21" spans="1:4" ht="13" x14ac:dyDescent="0.15">
      <c r="A21" s="216"/>
      <c r="B21" s="208"/>
      <c r="C21" s="211"/>
      <c r="D21" s="134" t="s">
        <v>69</v>
      </c>
    </row>
    <row r="22" spans="1:4" ht="14" thickBot="1" x14ac:dyDescent="0.2">
      <c r="A22" s="216"/>
      <c r="B22" s="208"/>
      <c r="C22" s="212"/>
      <c r="D22" s="135" t="s">
        <v>70</v>
      </c>
    </row>
    <row r="23" spans="1:4" ht="13" x14ac:dyDescent="0.15">
      <c r="A23" s="216"/>
      <c r="B23" s="208"/>
      <c r="C23" s="210" t="s">
        <v>71</v>
      </c>
      <c r="D23" s="134" t="s">
        <v>72</v>
      </c>
    </row>
    <row r="24" spans="1:4" ht="13" x14ac:dyDescent="0.15">
      <c r="A24" s="216"/>
      <c r="B24" s="208"/>
      <c r="C24" s="211"/>
      <c r="D24" s="134" t="s">
        <v>73</v>
      </c>
    </row>
    <row r="25" spans="1:4" ht="13" x14ac:dyDescent="0.15">
      <c r="A25" s="216"/>
      <c r="B25" s="208"/>
      <c r="C25" s="211"/>
      <c r="D25" s="134" t="s">
        <v>74</v>
      </c>
    </row>
    <row r="26" spans="1:4" ht="14" thickBot="1" x14ac:dyDescent="0.2">
      <c r="A26" s="216"/>
      <c r="B26" s="208"/>
      <c r="C26" s="212"/>
      <c r="D26" s="135" t="s">
        <v>75</v>
      </c>
    </row>
    <row r="27" spans="1:4" ht="13" x14ac:dyDescent="0.15">
      <c r="A27" s="216"/>
      <c r="B27" s="208"/>
      <c r="C27" s="210" t="s">
        <v>76</v>
      </c>
      <c r="D27" s="134" t="s">
        <v>77</v>
      </c>
    </row>
    <row r="28" spans="1:4" ht="13" x14ac:dyDescent="0.15">
      <c r="A28" s="216"/>
      <c r="B28" s="208"/>
      <c r="C28" s="211"/>
      <c r="D28" s="134" t="s">
        <v>78</v>
      </c>
    </row>
    <row r="29" spans="1:4" ht="13" x14ac:dyDescent="0.15">
      <c r="A29" s="216"/>
      <c r="B29" s="208"/>
      <c r="C29" s="211"/>
      <c r="D29" s="136" t="s">
        <v>79</v>
      </c>
    </row>
    <row r="30" spans="1:4" ht="14" thickBot="1" x14ac:dyDescent="0.2">
      <c r="A30" s="216"/>
      <c r="B30" s="209"/>
      <c r="C30" s="212"/>
      <c r="D30" s="135" t="s">
        <v>80</v>
      </c>
    </row>
    <row r="31" spans="1:4" ht="13" x14ac:dyDescent="0.15">
      <c r="A31" s="216"/>
      <c r="B31" s="207" t="s">
        <v>81</v>
      </c>
      <c r="C31" s="210" t="s">
        <v>82</v>
      </c>
      <c r="D31" s="134" t="s">
        <v>83</v>
      </c>
    </row>
    <row r="32" spans="1:4" ht="13" x14ac:dyDescent="0.15">
      <c r="A32" s="216"/>
      <c r="B32" s="208"/>
      <c r="C32" s="211"/>
      <c r="D32" s="134" t="s">
        <v>84</v>
      </c>
    </row>
    <row r="33" spans="1:4" ht="14" thickBot="1" x14ac:dyDescent="0.2">
      <c r="A33" s="216"/>
      <c r="B33" s="208"/>
      <c r="C33" s="212"/>
      <c r="D33" s="135" t="s">
        <v>85</v>
      </c>
    </row>
    <row r="34" spans="1:4" ht="19.25" customHeight="1" x14ac:dyDescent="0.15">
      <c r="A34" s="216"/>
      <c r="B34" s="208"/>
      <c r="C34" s="210" t="s">
        <v>86</v>
      </c>
      <c r="D34" s="136" t="s">
        <v>87</v>
      </c>
    </row>
    <row r="35" spans="1:4" ht="19.25" customHeight="1" thickBot="1" x14ac:dyDescent="0.2">
      <c r="A35" s="216"/>
      <c r="B35" s="208"/>
      <c r="C35" s="212"/>
      <c r="D35" s="135" t="s">
        <v>88</v>
      </c>
    </row>
    <row r="36" spans="1:4" ht="13" x14ac:dyDescent="0.15">
      <c r="A36" s="216"/>
      <c r="B36" s="208"/>
      <c r="C36" s="210" t="s">
        <v>89</v>
      </c>
      <c r="D36" s="136" t="s">
        <v>90</v>
      </c>
    </row>
    <row r="37" spans="1:4" ht="13" x14ac:dyDescent="0.15">
      <c r="A37" s="216"/>
      <c r="B37" s="208"/>
      <c r="C37" s="211"/>
      <c r="D37" s="136" t="s">
        <v>91</v>
      </c>
    </row>
    <row r="38" spans="1:4" ht="14" thickBot="1" x14ac:dyDescent="0.2">
      <c r="A38" s="216"/>
      <c r="B38" s="208"/>
      <c r="C38" s="212"/>
      <c r="D38" s="137" t="s">
        <v>92</v>
      </c>
    </row>
    <row r="39" spans="1:4" ht="13" x14ac:dyDescent="0.15">
      <c r="A39" s="216"/>
      <c r="B39" s="208"/>
      <c r="C39" s="210" t="s">
        <v>93</v>
      </c>
      <c r="D39" s="134" t="s">
        <v>94</v>
      </c>
    </row>
    <row r="40" spans="1:4" ht="14" thickBot="1" x14ac:dyDescent="0.2">
      <c r="A40" s="216"/>
      <c r="B40" s="208"/>
      <c r="C40" s="212"/>
      <c r="D40" s="135" t="s">
        <v>95</v>
      </c>
    </row>
    <row r="41" spans="1:4" ht="13" x14ac:dyDescent="0.15">
      <c r="A41" s="216"/>
      <c r="B41" s="208"/>
      <c r="C41" s="210" t="s">
        <v>96</v>
      </c>
      <c r="D41" s="134" t="s">
        <v>97</v>
      </c>
    </row>
    <row r="42" spans="1:4" ht="13" x14ac:dyDescent="0.15">
      <c r="A42" s="216"/>
      <c r="B42" s="208"/>
      <c r="C42" s="211"/>
      <c r="D42" s="134" t="s">
        <v>98</v>
      </c>
    </row>
    <row r="43" spans="1:4" ht="14" thickBot="1" x14ac:dyDescent="0.2">
      <c r="A43" s="216"/>
      <c r="B43" s="209"/>
      <c r="C43" s="212"/>
      <c r="D43" s="135" t="s">
        <v>99</v>
      </c>
    </row>
    <row r="44" spans="1:4" ht="13" x14ac:dyDescent="0.15">
      <c r="A44" s="216"/>
      <c r="B44" s="207" t="s">
        <v>100</v>
      </c>
      <c r="C44" s="210" t="s">
        <v>101</v>
      </c>
      <c r="D44" s="136" t="s">
        <v>102</v>
      </c>
    </row>
    <row r="45" spans="1:4" ht="13" x14ac:dyDescent="0.15">
      <c r="A45" s="216"/>
      <c r="B45" s="208"/>
      <c r="C45" s="211"/>
      <c r="D45" s="136" t="s">
        <v>103</v>
      </c>
    </row>
    <row r="46" spans="1:4" ht="13" x14ac:dyDescent="0.15">
      <c r="A46" s="216"/>
      <c r="B46" s="208"/>
      <c r="C46" s="211"/>
      <c r="D46" s="134" t="s">
        <v>104</v>
      </c>
    </row>
    <row r="47" spans="1:4" ht="14" thickBot="1" x14ac:dyDescent="0.2">
      <c r="A47" s="216"/>
      <c r="B47" s="208"/>
      <c r="C47" s="212"/>
      <c r="D47" s="135" t="s">
        <v>105</v>
      </c>
    </row>
    <row r="48" spans="1:4" ht="13" x14ac:dyDescent="0.15">
      <c r="A48" s="216"/>
      <c r="B48" s="208"/>
      <c r="C48" s="210" t="s">
        <v>106</v>
      </c>
      <c r="D48" s="136" t="s">
        <v>107</v>
      </c>
    </row>
    <row r="49" spans="1:4" ht="13" x14ac:dyDescent="0.15">
      <c r="A49" s="216"/>
      <c r="B49" s="208"/>
      <c r="C49" s="211"/>
      <c r="D49" s="136" t="s">
        <v>108</v>
      </c>
    </row>
    <row r="50" spans="1:4" ht="13" x14ac:dyDescent="0.15">
      <c r="A50" s="216"/>
      <c r="B50" s="208"/>
      <c r="C50" s="211"/>
      <c r="D50" s="134" t="s">
        <v>109</v>
      </c>
    </row>
    <row r="51" spans="1:4" ht="14" thickBot="1" x14ac:dyDescent="0.2">
      <c r="A51" s="216"/>
      <c r="B51" s="208"/>
      <c r="C51" s="212"/>
      <c r="D51" s="135" t="s">
        <v>110</v>
      </c>
    </row>
    <row r="52" spans="1:4" ht="13" x14ac:dyDescent="0.15">
      <c r="A52" s="216"/>
      <c r="B52" s="208"/>
      <c r="C52" s="210" t="s">
        <v>111</v>
      </c>
      <c r="D52" s="136" t="s">
        <v>112</v>
      </c>
    </row>
    <row r="53" spans="1:4" ht="13" x14ac:dyDescent="0.15">
      <c r="A53" s="216"/>
      <c r="B53" s="208"/>
      <c r="C53" s="211"/>
      <c r="D53" s="136" t="s">
        <v>113</v>
      </c>
    </row>
    <row r="54" spans="1:4" ht="13" x14ac:dyDescent="0.15">
      <c r="A54" s="216"/>
      <c r="B54" s="208"/>
      <c r="C54" s="211"/>
      <c r="D54" s="136" t="s">
        <v>114</v>
      </c>
    </row>
    <row r="55" spans="1:4" ht="14" thickBot="1" x14ac:dyDescent="0.2">
      <c r="A55" s="216"/>
      <c r="B55" s="208"/>
      <c r="C55" s="212"/>
      <c r="D55" s="135" t="s">
        <v>115</v>
      </c>
    </row>
    <row r="56" spans="1:4" ht="13" x14ac:dyDescent="0.15">
      <c r="A56" s="216"/>
      <c r="B56" s="208"/>
      <c r="C56" s="210" t="s">
        <v>116</v>
      </c>
      <c r="D56" s="136" t="s">
        <v>117</v>
      </c>
    </row>
    <row r="57" spans="1:4" ht="13" x14ac:dyDescent="0.15">
      <c r="A57" s="216"/>
      <c r="B57" s="208"/>
      <c r="C57" s="211"/>
      <c r="D57" s="136" t="s">
        <v>118</v>
      </c>
    </row>
    <row r="58" spans="1:4" ht="14" thickBot="1" x14ac:dyDescent="0.2">
      <c r="A58" s="216"/>
      <c r="B58" s="209"/>
      <c r="C58" s="212"/>
      <c r="D58" s="137" t="s">
        <v>119</v>
      </c>
    </row>
    <row r="59" spans="1:4" ht="13" x14ac:dyDescent="0.15">
      <c r="A59" s="216"/>
      <c r="B59" s="207" t="s">
        <v>120</v>
      </c>
      <c r="C59" s="210" t="s">
        <v>121</v>
      </c>
      <c r="D59" s="134" t="s">
        <v>122</v>
      </c>
    </row>
    <row r="60" spans="1:4" ht="13" x14ac:dyDescent="0.15">
      <c r="A60" s="216"/>
      <c r="B60" s="216"/>
      <c r="C60" s="211"/>
      <c r="D60" s="134" t="s">
        <v>123</v>
      </c>
    </row>
    <row r="61" spans="1:4" ht="13" x14ac:dyDescent="0.15">
      <c r="A61" s="216"/>
      <c r="B61" s="216"/>
      <c r="C61" s="211"/>
      <c r="D61" s="134" t="s">
        <v>124</v>
      </c>
    </row>
    <row r="62" spans="1:4" ht="13" x14ac:dyDescent="0.15">
      <c r="A62" s="216"/>
      <c r="B62" s="216"/>
      <c r="C62" s="211"/>
      <c r="D62" s="136" t="s">
        <v>125</v>
      </c>
    </row>
    <row r="63" spans="1:4" ht="14" thickBot="1" x14ac:dyDescent="0.2">
      <c r="A63" s="216"/>
      <c r="B63" s="216"/>
      <c r="C63" s="212"/>
      <c r="D63" s="135" t="s">
        <v>126</v>
      </c>
    </row>
    <row r="64" spans="1:4" ht="13" x14ac:dyDescent="0.15">
      <c r="A64" s="216"/>
      <c r="B64" s="216"/>
      <c r="C64" s="210" t="s">
        <v>127</v>
      </c>
      <c r="D64" s="134" t="s">
        <v>128</v>
      </c>
    </row>
    <row r="65" spans="1:4" ht="13" x14ac:dyDescent="0.15">
      <c r="A65" s="216"/>
      <c r="B65" s="216"/>
      <c r="C65" s="211"/>
      <c r="D65" s="134" t="s">
        <v>129</v>
      </c>
    </row>
    <row r="66" spans="1:4" ht="14" thickBot="1" x14ac:dyDescent="0.2">
      <c r="A66" s="216"/>
      <c r="B66" s="216"/>
      <c r="C66" s="212"/>
      <c r="D66" s="135" t="s">
        <v>130</v>
      </c>
    </row>
    <row r="67" spans="1:4" ht="13" x14ac:dyDescent="0.15">
      <c r="A67" s="216"/>
      <c r="B67" s="216"/>
      <c r="C67" s="210" t="s">
        <v>131</v>
      </c>
      <c r="D67" s="134" t="s">
        <v>123</v>
      </c>
    </row>
    <row r="68" spans="1:4" ht="13" x14ac:dyDescent="0.15">
      <c r="A68" s="216"/>
      <c r="B68" s="216"/>
      <c r="C68" s="211"/>
      <c r="D68" s="134" t="s">
        <v>128</v>
      </c>
    </row>
    <row r="69" spans="1:4" ht="14" thickBot="1" x14ac:dyDescent="0.2">
      <c r="A69" s="216"/>
      <c r="B69" s="216"/>
      <c r="C69" s="212"/>
      <c r="D69" s="135" t="s">
        <v>132</v>
      </c>
    </row>
    <row r="70" spans="1:4" ht="13" x14ac:dyDescent="0.15">
      <c r="A70" s="216"/>
      <c r="B70" s="216"/>
      <c r="C70" s="210" t="s">
        <v>133</v>
      </c>
      <c r="D70" s="134" t="s">
        <v>134</v>
      </c>
    </row>
    <row r="71" spans="1:4" ht="13" x14ac:dyDescent="0.15">
      <c r="A71" s="216"/>
      <c r="B71" s="216"/>
      <c r="C71" s="211"/>
      <c r="D71" s="134" t="s">
        <v>128</v>
      </c>
    </row>
    <row r="72" spans="1:4" ht="14" thickBot="1" x14ac:dyDescent="0.2">
      <c r="A72" s="216"/>
      <c r="B72" s="216"/>
      <c r="C72" s="212"/>
      <c r="D72" s="135" t="s">
        <v>135</v>
      </c>
    </row>
    <row r="73" spans="1:4" ht="13" x14ac:dyDescent="0.15">
      <c r="A73" s="216"/>
      <c r="B73" s="216"/>
      <c r="C73" s="210" t="s">
        <v>136</v>
      </c>
      <c r="D73" s="134" t="s">
        <v>137</v>
      </c>
    </row>
    <row r="74" spans="1:4" ht="13" x14ac:dyDescent="0.15">
      <c r="A74" s="216"/>
      <c r="B74" s="216"/>
      <c r="C74" s="211"/>
      <c r="D74" s="134" t="s">
        <v>138</v>
      </c>
    </row>
    <row r="75" spans="1:4" ht="14" thickBot="1" x14ac:dyDescent="0.2">
      <c r="A75" s="216"/>
      <c r="B75" s="216"/>
      <c r="C75" s="212"/>
      <c r="D75" s="135" t="s">
        <v>139</v>
      </c>
    </row>
    <row r="76" spans="1:4" ht="13" x14ac:dyDescent="0.15">
      <c r="A76" s="216"/>
      <c r="B76" s="216"/>
      <c r="C76" s="210" t="s">
        <v>140</v>
      </c>
      <c r="D76" s="134" t="s">
        <v>141</v>
      </c>
    </row>
    <row r="77" spans="1:4" ht="14" thickBot="1" x14ac:dyDescent="0.2">
      <c r="A77" s="216"/>
      <c r="B77" s="217"/>
      <c r="C77" s="212"/>
      <c r="D77" s="135" t="s">
        <v>142</v>
      </c>
    </row>
    <row r="78" spans="1:4" ht="13" x14ac:dyDescent="0.15">
      <c r="A78" s="216"/>
      <c r="B78" s="207" t="s">
        <v>143</v>
      </c>
      <c r="C78" s="210" t="s">
        <v>144</v>
      </c>
      <c r="D78" s="136" t="s">
        <v>145</v>
      </c>
    </row>
    <row r="79" spans="1:4" ht="13" x14ac:dyDescent="0.15">
      <c r="A79" s="216"/>
      <c r="B79" s="208"/>
      <c r="C79" s="211"/>
      <c r="D79" s="134" t="s">
        <v>146</v>
      </c>
    </row>
    <row r="80" spans="1:4" ht="14" thickBot="1" x14ac:dyDescent="0.2">
      <c r="A80" s="216"/>
      <c r="B80" s="208"/>
      <c r="C80" s="212"/>
      <c r="D80" s="135" t="s">
        <v>147</v>
      </c>
    </row>
    <row r="81" spans="1:4" ht="13" x14ac:dyDescent="0.15">
      <c r="A81" s="216"/>
      <c r="B81" s="208"/>
      <c r="C81" s="210" t="s">
        <v>148</v>
      </c>
      <c r="D81" s="136" t="s">
        <v>149</v>
      </c>
    </row>
    <row r="82" spans="1:4" ht="13" x14ac:dyDescent="0.15">
      <c r="A82" s="216"/>
      <c r="B82" s="208"/>
      <c r="C82" s="211"/>
      <c r="D82" s="134" t="s">
        <v>150</v>
      </c>
    </row>
    <row r="83" spans="1:4" ht="14" thickBot="1" x14ac:dyDescent="0.2">
      <c r="A83" s="216"/>
      <c r="B83" s="208"/>
      <c r="C83" s="212"/>
      <c r="D83" s="135" t="s">
        <v>151</v>
      </c>
    </row>
    <row r="84" spans="1:4" ht="40" thickBot="1" x14ac:dyDescent="0.2">
      <c r="A84" s="217"/>
      <c r="B84" s="209"/>
      <c r="C84" s="138" t="s">
        <v>152</v>
      </c>
      <c r="D84" s="135" t="s">
        <v>153</v>
      </c>
    </row>
    <row r="85" spans="1:4" ht="13" x14ac:dyDescent="0.15">
      <c r="A85" s="219" t="s">
        <v>11</v>
      </c>
      <c r="B85" s="207" t="s">
        <v>154</v>
      </c>
      <c r="C85" s="210" t="s">
        <v>155</v>
      </c>
      <c r="D85" s="136" t="s">
        <v>156</v>
      </c>
    </row>
    <row r="86" spans="1:4" ht="13" x14ac:dyDescent="0.15">
      <c r="A86" s="220"/>
      <c r="B86" s="208"/>
      <c r="C86" s="211"/>
      <c r="D86" s="136" t="s">
        <v>157</v>
      </c>
    </row>
    <row r="87" spans="1:4" ht="13" x14ac:dyDescent="0.15">
      <c r="A87" s="220"/>
      <c r="B87" s="208"/>
      <c r="C87" s="211"/>
      <c r="D87" s="136" t="s">
        <v>158</v>
      </c>
    </row>
    <row r="88" spans="1:4" ht="13" x14ac:dyDescent="0.15">
      <c r="A88" s="220"/>
      <c r="B88" s="208"/>
      <c r="C88" s="211"/>
      <c r="D88" s="136" t="s">
        <v>159</v>
      </c>
    </row>
    <row r="89" spans="1:4" ht="13" x14ac:dyDescent="0.15">
      <c r="A89" s="220"/>
      <c r="B89" s="208"/>
      <c r="C89" s="211"/>
      <c r="D89" s="136" t="s">
        <v>160</v>
      </c>
    </row>
    <row r="90" spans="1:4" ht="14" thickBot="1" x14ac:dyDescent="0.2">
      <c r="A90" s="220"/>
      <c r="B90" s="208"/>
      <c r="C90" s="212"/>
      <c r="D90" s="137" t="s">
        <v>161</v>
      </c>
    </row>
    <row r="91" spans="1:4" ht="13" x14ac:dyDescent="0.15">
      <c r="A91" s="220"/>
      <c r="B91" s="208"/>
      <c r="C91" s="210" t="s">
        <v>162</v>
      </c>
      <c r="D91" s="136" t="s">
        <v>163</v>
      </c>
    </row>
    <row r="92" spans="1:4" ht="13" x14ac:dyDescent="0.15">
      <c r="A92" s="220"/>
      <c r="B92" s="208"/>
      <c r="C92" s="211"/>
      <c r="D92" s="136" t="s">
        <v>164</v>
      </c>
    </row>
    <row r="93" spans="1:4" ht="13" x14ac:dyDescent="0.15">
      <c r="A93" s="220"/>
      <c r="B93" s="208"/>
      <c r="C93" s="211"/>
      <c r="D93" s="136" t="s">
        <v>165</v>
      </c>
    </row>
    <row r="94" spans="1:4" ht="14" thickBot="1" x14ac:dyDescent="0.2">
      <c r="A94" s="220"/>
      <c r="B94" s="208"/>
      <c r="C94" s="212"/>
      <c r="D94" s="137" t="s">
        <v>166</v>
      </c>
    </row>
    <row r="95" spans="1:4" ht="13" x14ac:dyDescent="0.15">
      <c r="A95" s="220"/>
      <c r="B95" s="208"/>
      <c r="C95" s="210" t="s">
        <v>167</v>
      </c>
      <c r="D95" s="136" t="s">
        <v>168</v>
      </c>
    </row>
    <row r="96" spans="1:4" ht="13" x14ac:dyDescent="0.15">
      <c r="A96" s="220"/>
      <c r="B96" s="208"/>
      <c r="C96" s="211"/>
      <c r="D96" s="136" t="s">
        <v>169</v>
      </c>
    </row>
    <row r="97" spans="1:4" ht="13" x14ac:dyDescent="0.15">
      <c r="A97" s="220"/>
      <c r="B97" s="208"/>
      <c r="C97" s="211"/>
      <c r="D97" s="136" t="s">
        <v>170</v>
      </c>
    </row>
    <row r="98" spans="1:4" ht="13" x14ac:dyDescent="0.15">
      <c r="A98" s="220"/>
      <c r="B98" s="208"/>
      <c r="C98" s="211"/>
      <c r="D98" s="136" t="s">
        <v>171</v>
      </c>
    </row>
    <row r="99" spans="1:4" ht="14" thickBot="1" x14ac:dyDescent="0.2">
      <c r="A99" s="220"/>
      <c r="B99" s="208"/>
      <c r="C99" s="212"/>
      <c r="D99" s="137" t="s">
        <v>172</v>
      </c>
    </row>
    <row r="100" spans="1:4" ht="13" x14ac:dyDescent="0.15">
      <c r="A100" s="220"/>
      <c r="B100" s="208"/>
      <c r="C100" s="210" t="s">
        <v>173</v>
      </c>
      <c r="D100" s="136" t="s">
        <v>174</v>
      </c>
    </row>
    <row r="101" spans="1:4" ht="13" x14ac:dyDescent="0.15">
      <c r="A101" s="220"/>
      <c r="B101" s="208"/>
      <c r="C101" s="211"/>
      <c r="D101" s="136" t="s">
        <v>175</v>
      </c>
    </row>
    <row r="102" spans="1:4" ht="13" x14ac:dyDescent="0.15">
      <c r="A102" s="220"/>
      <c r="B102" s="208"/>
      <c r="C102" s="211"/>
      <c r="D102" s="136" t="s">
        <v>176</v>
      </c>
    </row>
    <row r="103" spans="1:4" ht="13" x14ac:dyDescent="0.15">
      <c r="A103" s="220"/>
      <c r="B103" s="208"/>
      <c r="C103" s="211"/>
      <c r="D103" s="136" t="s">
        <v>177</v>
      </c>
    </row>
    <row r="104" spans="1:4" ht="14" thickBot="1" x14ac:dyDescent="0.2">
      <c r="A104" s="220"/>
      <c r="B104" s="208"/>
      <c r="C104" s="212"/>
      <c r="D104" s="137" t="s">
        <v>178</v>
      </c>
    </row>
    <row r="105" spans="1:4" ht="13" x14ac:dyDescent="0.15">
      <c r="A105" s="220"/>
      <c r="B105" s="208"/>
      <c r="C105" s="210" t="s">
        <v>179</v>
      </c>
      <c r="D105" s="136" t="s">
        <v>180</v>
      </c>
    </row>
    <row r="106" spans="1:4" ht="13" x14ac:dyDescent="0.15">
      <c r="A106" s="220"/>
      <c r="B106" s="208"/>
      <c r="C106" s="211"/>
      <c r="D106" s="136" t="s">
        <v>181</v>
      </c>
    </row>
    <row r="107" spans="1:4" ht="13" x14ac:dyDescent="0.15">
      <c r="A107" s="220"/>
      <c r="B107" s="208"/>
      <c r="C107" s="211"/>
      <c r="D107" s="136" t="s">
        <v>182</v>
      </c>
    </row>
    <row r="108" spans="1:4" ht="14" thickBot="1" x14ac:dyDescent="0.2">
      <c r="A108" s="220"/>
      <c r="B108" s="209"/>
      <c r="C108" s="212"/>
      <c r="D108" s="137" t="s">
        <v>183</v>
      </c>
    </row>
    <row r="109" spans="1:4" ht="13" x14ac:dyDescent="0.15">
      <c r="A109" s="220"/>
      <c r="B109" s="207" t="s">
        <v>184</v>
      </c>
      <c r="C109" s="210" t="s">
        <v>185</v>
      </c>
      <c r="D109" s="136" t="s">
        <v>186</v>
      </c>
    </row>
    <row r="110" spans="1:4" ht="13" x14ac:dyDescent="0.15">
      <c r="A110" s="220"/>
      <c r="B110" s="208"/>
      <c r="C110" s="211"/>
      <c r="D110" s="136" t="s">
        <v>187</v>
      </c>
    </row>
    <row r="111" spans="1:4" ht="13" x14ac:dyDescent="0.15">
      <c r="A111" s="220"/>
      <c r="B111" s="208"/>
      <c r="C111" s="211"/>
      <c r="D111" s="136" t="s">
        <v>188</v>
      </c>
    </row>
    <row r="112" spans="1:4" ht="13" x14ac:dyDescent="0.15">
      <c r="A112" s="220"/>
      <c r="B112" s="208"/>
      <c r="C112" s="211"/>
      <c r="D112" s="136" t="s">
        <v>189</v>
      </c>
    </row>
    <row r="113" spans="1:4" ht="14" thickBot="1" x14ac:dyDescent="0.2">
      <c r="A113" s="220"/>
      <c r="B113" s="208"/>
      <c r="C113" s="212"/>
      <c r="D113" s="137" t="s">
        <v>190</v>
      </c>
    </row>
    <row r="114" spans="1:4" ht="13" x14ac:dyDescent="0.15">
      <c r="A114" s="220"/>
      <c r="B114" s="208"/>
      <c r="C114" s="210" t="s">
        <v>191</v>
      </c>
      <c r="D114" s="136" t="s">
        <v>192</v>
      </c>
    </row>
    <row r="115" spans="1:4" ht="13" x14ac:dyDescent="0.15">
      <c r="A115" s="220"/>
      <c r="B115" s="208"/>
      <c r="C115" s="211"/>
      <c r="D115" s="136" t="s">
        <v>193</v>
      </c>
    </row>
    <row r="116" spans="1:4" ht="13" x14ac:dyDescent="0.15">
      <c r="A116" s="220"/>
      <c r="B116" s="208"/>
      <c r="C116" s="211"/>
      <c r="D116" s="136" t="s">
        <v>194</v>
      </c>
    </row>
    <row r="117" spans="1:4" ht="13" x14ac:dyDescent="0.15">
      <c r="A117" s="220"/>
      <c r="B117" s="208"/>
      <c r="C117" s="211"/>
      <c r="D117" s="136" t="s">
        <v>195</v>
      </c>
    </row>
    <row r="118" spans="1:4" ht="14" thickBot="1" x14ac:dyDescent="0.2">
      <c r="A118" s="220"/>
      <c r="B118" s="208"/>
      <c r="C118" s="212"/>
      <c r="D118" s="137" t="s">
        <v>196</v>
      </c>
    </row>
    <row r="119" spans="1:4" ht="13" x14ac:dyDescent="0.15">
      <c r="A119" s="220"/>
      <c r="B119" s="208"/>
      <c r="C119" s="210" t="s">
        <v>197</v>
      </c>
      <c r="D119" s="136" t="s">
        <v>198</v>
      </c>
    </row>
    <row r="120" spans="1:4" ht="13" x14ac:dyDescent="0.15">
      <c r="A120" s="220"/>
      <c r="B120" s="208"/>
      <c r="C120" s="211"/>
      <c r="D120" s="136" t="s">
        <v>199</v>
      </c>
    </row>
    <row r="121" spans="1:4" ht="13" x14ac:dyDescent="0.15">
      <c r="A121" s="220"/>
      <c r="B121" s="208"/>
      <c r="C121" s="211"/>
      <c r="D121" s="136" t="s">
        <v>188</v>
      </c>
    </row>
    <row r="122" spans="1:4" ht="13" x14ac:dyDescent="0.15">
      <c r="A122" s="220"/>
      <c r="B122" s="208"/>
      <c r="C122" s="211"/>
      <c r="D122" s="136" t="s">
        <v>200</v>
      </c>
    </row>
    <row r="123" spans="1:4" ht="14" thickBot="1" x14ac:dyDescent="0.2">
      <c r="A123" s="220"/>
      <c r="B123" s="208"/>
      <c r="C123" s="212"/>
      <c r="D123" s="137" t="s">
        <v>201</v>
      </c>
    </row>
    <row r="124" spans="1:4" ht="13" x14ac:dyDescent="0.15">
      <c r="A124" s="220"/>
      <c r="B124" s="208"/>
      <c r="C124" s="210" t="s">
        <v>202</v>
      </c>
      <c r="D124" s="134" t="s">
        <v>198</v>
      </c>
    </row>
    <row r="125" spans="1:4" ht="13" x14ac:dyDescent="0.15">
      <c r="A125" s="220"/>
      <c r="B125" s="208"/>
      <c r="C125" s="211"/>
      <c r="D125" s="134" t="s">
        <v>203</v>
      </c>
    </row>
    <row r="126" spans="1:4" ht="13" x14ac:dyDescent="0.15">
      <c r="A126" s="220"/>
      <c r="B126" s="208"/>
      <c r="C126" s="211"/>
      <c r="D126" s="134" t="s">
        <v>188</v>
      </c>
    </row>
    <row r="127" spans="1:4" ht="13" x14ac:dyDescent="0.15">
      <c r="A127" s="220"/>
      <c r="B127" s="208"/>
      <c r="C127" s="211"/>
      <c r="D127" s="136" t="s">
        <v>204</v>
      </c>
    </row>
    <row r="128" spans="1:4" ht="14" thickBot="1" x14ac:dyDescent="0.2">
      <c r="A128" s="220"/>
      <c r="B128" s="208"/>
      <c r="C128" s="212"/>
      <c r="D128" s="135" t="s">
        <v>196</v>
      </c>
    </row>
    <row r="129" spans="1:4" ht="13" x14ac:dyDescent="0.15">
      <c r="A129" s="220"/>
      <c r="B129" s="208"/>
      <c r="C129" s="210" t="s">
        <v>205</v>
      </c>
      <c r="D129" s="136" t="s">
        <v>198</v>
      </c>
    </row>
    <row r="130" spans="1:4" ht="13" x14ac:dyDescent="0.15">
      <c r="A130" s="220"/>
      <c r="B130" s="208"/>
      <c r="C130" s="211"/>
      <c r="D130" s="136" t="s">
        <v>206</v>
      </c>
    </row>
    <row r="131" spans="1:4" ht="13" x14ac:dyDescent="0.15">
      <c r="A131" s="220"/>
      <c r="B131" s="208"/>
      <c r="C131" s="211"/>
      <c r="D131" s="136" t="s">
        <v>188</v>
      </c>
    </row>
    <row r="132" spans="1:4" ht="13" x14ac:dyDescent="0.15">
      <c r="A132" s="220"/>
      <c r="B132" s="208"/>
      <c r="C132" s="211"/>
      <c r="D132" s="136" t="s">
        <v>204</v>
      </c>
    </row>
    <row r="133" spans="1:4" ht="14" thickBot="1" x14ac:dyDescent="0.2">
      <c r="A133" s="220"/>
      <c r="B133" s="209"/>
      <c r="C133" s="212"/>
      <c r="D133" s="137" t="s">
        <v>196</v>
      </c>
    </row>
    <row r="134" spans="1:4" ht="13" x14ac:dyDescent="0.15">
      <c r="A134" s="220"/>
      <c r="B134" s="207" t="s">
        <v>207</v>
      </c>
      <c r="C134" s="210" t="s">
        <v>208</v>
      </c>
      <c r="D134" s="134" t="s">
        <v>209</v>
      </c>
    </row>
    <row r="135" spans="1:4" ht="13" x14ac:dyDescent="0.15">
      <c r="A135" s="220"/>
      <c r="B135" s="208"/>
      <c r="C135" s="211"/>
      <c r="D135" s="134" t="s">
        <v>210</v>
      </c>
    </row>
    <row r="136" spans="1:4" ht="13" x14ac:dyDescent="0.15">
      <c r="A136" s="220"/>
      <c r="B136" s="208"/>
      <c r="C136" s="211"/>
      <c r="D136" s="134" t="s">
        <v>211</v>
      </c>
    </row>
    <row r="137" spans="1:4" ht="13" x14ac:dyDescent="0.15">
      <c r="A137" s="220"/>
      <c r="B137" s="208"/>
      <c r="C137" s="211"/>
      <c r="D137" s="136" t="s">
        <v>212</v>
      </c>
    </row>
    <row r="138" spans="1:4" ht="14" thickBot="1" x14ac:dyDescent="0.2">
      <c r="A138" s="220"/>
      <c r="B138" s="208"/>
      <c r="C138" s="212"/>
      <c r="D138" s="135" t="s">
        <v>213</v>
      </c>
    </row>
    <row r="139" spans="1:4" ht="13" x14ac:dyDescent="0.15">
      <c r="A139" s="220"/>
      <c r="B139" s="208"/>
      <c r="C139" s="210" t="s">
        <v>214</v>
      </c>
      <c r="D139" s="136" t="s">
        <v>209</v>
      </c>
    </row>
    <row r="140" spans="1:4" ht="13" x14ac:dyDescent="0.15">
      <c r="A140" s="220"/>
      <c r="B140" s="208"/>
      <c r="C140" s="211"/>
      <c r="D140" s="136" t="s">
        <v>215</v>
      </c>
    </row>
    <row r="141" spans="1:4" ht="13" x14ac:dyDescent="0.15">
      <c r="A141" s="220"/>
      <c r="B141" s="208"/>
      <c r="C141" s="211"/>
      <c r="D141" s="136" t="s">
        <v>216</v>
      </c>
    </row>
    <row r="142" spans="1:4" ht="13" x14ac:dyDescent="0.15">
      <c r="A142" s="220"/>
      <c r="B142" s="208"/>
      <c r="C142" s="211"/>
      <c r="D142" s="136" t="s">
        <v>217</v>
      </c>
    </row>
    <row r="143" spans="1:4" ht="14" thickBot="1" x14ac:dyDescent="0.2">
      <c r="A143" s="220"/>
      <c r="B143" s="208"/>
      <c r="C143" s="212"/>
      <c r="D143" s="137" t="s">
        <v>218</v>
      </c>
    </row>
    <row r="144" spans="1:4" ht="13" x14ac:dyDescent="0.15">
      <c r="A144" s="220"/>
      <c r="B144" s="208"/>
      <c r="C144" s="210" t="s">
        <v>219</v>
      </c>
      <c r="D144" s="136" t="s">
        <v>220</v>
      </c>
    </row>
    <row r="145" spans="1:4" ht="13" x14ac:dyDescent="0.15">
      <c r="A145" s="220"/>
      <c r="B145" s="208"/>
      <c r="C145" s="211"/>
      <c r="D145" s="136" t="s">
        <v>221</v>
      </c>
    </row>
    <row r="146" spans="1:4" ht="13" x14ac:dyDescent="0.15">
      <c r="A146" s="220"/>
      <c r="B146" s="208"/>
      <c r="C146" s="211"/>
      <c r="D146" s="136" t="s">
        <v>222</v>
      </c>
    </row>
    <row r="147" spans="1:4" ht="13" x14ac:dyDescent="0.15">
      <c r="A147" s="220"/>
      <c r="B147" s="208"/>
      <c r="C147" s="211"/>
      <c r="D147" s="136" t="s">
        <v>223</v>
      </c>
    </row>
    <row r="148" spans="1:4" ht="14" thickBot="1" x14ac:dyDescent="0.2">
      <c r="A148" s="220"/>
      <c r="B148" s="208"/>
      <c r="C148" s="212"/>
      <c r="D148" s="137" t="s">
        <v>224</v>
      </c>
    </row>
    <row r="149" spans="1:4" ht="13" x14ac:dyDescent="0.15">
      <c r="A149" s="220"/>
      <c r="B149" s="208"/>
      <c r="C149" s="210" t="s">
        <v>225</v>
      </c>
      <c r="D149" s="136" t="s">
        <v>226</v>
      </c>
    </row>
    <row r="150" spans="1:4" ht="13" x14ac:dyDescent="0.15">
      <c r="A150" s="220"/>
      <c r="B150" s="208"/>
      <c r="C150" s="211"/>
      <c r="D150" s="136" t="s">
        <v>227</v>
      </c>
    </row>
    <row r="151" spans="1:4" ht="13" x14ac:dyDescent="0.15">
      <c r="A151" s="220"/>
      <c r="B151" s="208"/>
      <c r="C151" s="211"/>
      <c r="D151" s="136" t="s">
        <v>228</v>
      </c>
    </row>
    <row r="152" spans="1:4" ht="14" thickBot="1" x14ac:dyDescent="0.2">
      <c r="A152" s="220"/>
      <c r="B152" s="208"/>
      <c r="C152" s="212"/>
      <c r="D152" s="137" t="s">
        <v>229</v>
      </c>
    </row>
    <row r="153" spans="1:4" ht="13" x14ac:dyDescent="0.15">
      <c r="A153" s="220"/>
      <c r="B153" s="208"/>
      <c r="C153" s="210" t="s">
        <v>230</v>
      </c>
      <c r="D153" s="136" t="s">
        <v>231</v>
      </c>
    </row>
    <row r="154" spans="1:4" ht="13" x14ac:dyDescent="0.15">
      <c r="A154" s="220"/>
      <c r="B154" s="208"/>
      <c r="C154" s="211"/>
      <c r="D154" s="136" t="s">
        <v>232</v>
      </c>
    </row>
    <row r="155" spans="1:4" ht="13" x14ac:dyDescent="0.15">
      <c r="A155" s="220"/>
      <c r="B155" s="208"/>
      <c r="C155" s="211"/>
      <c r="D155" s="136" t="s">
        <v>233</v>
      </c>
    </row>
    <row r="156" spans="1:4" ht="26" x14ac:dyDescent="0.15">
      <c r="A156" s="220"/>
      <c r="B156" s="208"/>
      <c r="C156" s="211"/>
      <c r="D156" s="136" t="s">
        <v>234</v>
      </c>
    </row>
    <row r="157" spans="1:4" ht="27" thickBot="1" x14ac:dyDescent="0.2">
      <c r="A157" s="220"/>
      <c r="B157" s="208"/>
      <c r="C157" s="212"/>
      <c r="D157" s="137" t="s">
        <v>235</v>
      </c>
    </row>
    <row r="158" spans="1:4" ht="13" x14ac:dyDescent="0.15">
      <c r="A158" s="220"/>
      <c r="B158" s="208"/>
      <c r="C158" s="210" t="s">
        <v>236</v>
      </c>
      <c r="D158" s="136" t="s">
        <v>237</v>
      </c>
    </row>
    <row r="159" spans="1:4" ht="13" x14ac:dyDescent="0.15">
      <c r="A159" s="220"/>
      <c r="B159" s="208"/>
      <c r="C159" s="211"/>
      <c r="D159" s="136" t="s">
        <v>238</v>
      </c>
    </row>
    <row r="160" spans="1:4" ht="14" thickBot="1" x14ac:dyDescent="0.2">
      <c r="A160" s="220"/>
      <c r="B160" s="208"/>
      <c r="C160" s="212"/>
      <c r="D160" s="137" t="s">
        <v>239</v>
      </c>
    </row>
    <row r="161" spans="1:4" ht="13" x14ac:dyDescent="0.15">
      <c r="A161" s="220"/>
      <c r="B161" s="208"/>
      <c r="C161" s="210" t="s">
        <v>240</v>
      </c>
      <c r="D161" s="136" t="s">
        <v>241</v>
      </c>
    </row>
    <row r="162" spans="1:4" ht="13" x14ac:dyDescent="0.15">
      <c r="A162" s="220"/>
      <c r="B162" s="208"/>
      <c r="C162" s="211"/>
      <c r="D162" s="136" t="s">
        <v>242</v>
      </c>
    </row>
    <row r="163" spans="1:4" ht="14" thickBot="1" x14ac:dyDescent="0.2">
      <c r="A163" s="220"/>
      <c r="B163" s="209"/>
      <c r="C163" s="212"/>
      <c r="D163" s="137" t="s">
        <v>243</v>
      </c>
    </row>
    <row r="164" spans="1:4" ht="13" x14ac:dyDescent="0.15">
      <c r="A164" s="220"/>
      <c r="B164" s="207" t="s">
        <v>244</v>
      </c>
      <c r="C164" s="210" t="s">
        <v>245</v>
      </c>
      <c r="D164" s="136" t="s">
        <v>246</v>
      </c>
    </row>
    <row r="165" spans="1:4" ht="13" x14ac:dyDescent="0.15">
      <c r="A165" s="220"/>
      <c r="B165" s="208"/>
      <c r="C165" s="211"/>
      <c r="D165" s="136" t="s">
        <v>247</v>
      </c>
    </row>
    <row r="166" spans="1:4" ht="13" x14ac:dyDescent="0.15">
      <c r="A166" s="220"/>
      <c r="B166" s="208"/>
      <c r="C166" s="211"/>
      <c r="D166" s="136" t="s">
        <v>248</v>
      </c>
    </row>
    <row r="167" spans="1:4" ht="13" x14ac:dyDescent="0.15">
      <c r="A167" s="220"/>
      <c r="B167" s="208"/>
      <c r="C167" s="211"/>
      <c r="D167" s="136" t="s">
        <v>249</v>
      </c>
    </row>
    <row r="168" spans="1:4" ht="13" x14ac:dyDescent="0.15">
      <c r="A168" s="220"/>
      <c r="B168" s="208"/>
      <c r="C168" s="211"/>
      <c r="D168" s="136" t="s">
        <v>250</v>
      </c>
    </row>
    <row r="169" spans="1:4" ht="14" thickBot="1" x14ac:dyDescent="0.2">
      <c r="A169" s="220"/>
      <c r="B169" s="208"/>
      <c r="C169" s="212"/>
      <c r="D169" s="137" t="s">
        <v>251</v>
      </c>
    </row>
    <row r="170" spans="1:4" ht="13" x14ac:dyDescent="0.15">
      <c r="A170" s="220"/>
      <c r="B170" s="208"/>
      <c r="C170" s="210" t="s">
        <v>252</v>
      </c>
      <c r="D170" s="136" t="s">
        <v>226</v>
      </c>
    </row>
    <row r="171" spans="1:4" ht="13" x14ac:dyDescent="0.15">
      <c r="A171" s="220"/>
      <c r="B171" s="208"/>
      <c r="C171" s="211"/>
      <c r="D171" s="136" t="s">
        <v>253</v>
      </c>
    </row>
    <row r="172" spans="1:4" ht="13" x14ac:dyDescent="0.15">
      <c r="A172" s="220"/>
      <c r="B172" s="208"/>
      <c r="C172" s="211"/>
      <c r="D172" s="136" t="s">
        <v>254</v>
      </c>
    </row>
    <row r="173" spans="1:4" ht="14" thickBot="1" x14ac:dyDescent="0.2">
      <c r="A173" s="220"/>
      <c r="B173" s="208"/>
      <c r="C173" s="212"/>
      <c r="D173" s="137" t="s">
        <v>255</v>
      </c>
    </row>
    <row r="174" spans="1:4" ht="13" x14ac:dyDescent="0.15">
      <c r="A174" s="220"/>
      <c r="B174" s="208"/>
      <c r="C174" s="210" t="s">
        <v>256</v>
      </c>
      <c r="D174" s="136" t="s">
        <v>257</v>
      </c>
    </row>
    <row r="175" spans="1:4" ht="13" x14ac:dyDescent="0.15">
      <c r="A175" s="220"/>
      <c r="B175" s="208"/>
      <c r="C175" s="211"/>
      <c r="D175" s="136" t="s">
        <v>248</v>
      </c>
    </row>
    <row r="176" spans="1:4" ht="13" x14ac:dyDescent="0.15">
      <c r="A176" s="220"/>
      <c r="B176" s="208"/>
      <c r="C176" s="211"/>
      <c r="D176" s="136" t="s">
        <v>249</v>
      </c>
    </row>
    <row r="177" spans="1:4" ht="13" x14ac:dyDescent="0.15">
      <c r="A177" s="220"/>
      <c r="B177" s="208"/>
      <c r="C177" s="211"/>
      <c r="D177" s="136" t="s">
        <v>250</v>
      </c>
    </row>
    <row r="178" spans="1:4" ht="14" thickBot="1" x14ac:dyDescent="0.2">
      <c r="A178" s="220"/>
      <c r="B178" s="208"/>
      <c r="C178" s="212"/>
      <c r="D178" s="137" t="s">
        <v>258</v>
      </c>
    </row>
    <row r="179" spans="1:4" ht="13" x14ac:dyDescent="0.15">
      <c r="A179" s="220"/>
      <c r="B179" s="208"/>
      <c r="C179" s="210" t="s">
        <v>259</v>
      </c>
      <c r="D179" s="136" t="s">
        <v>260</v>
      </c>
    </row>
    <row r="180" spans="1:4" ht="13" x14ac:dyDescent="0.15">
      <c r="A180" s="220"/>
      <c r="B180" s="208"/>
      <c r="C180" s="211"/>
      <c r="D180" s="136" t="s">
        <v>261</v>
      </c>
    </row>
    <row r="181" spans="1:4" ht="13" x14ac:dyDescent="0.15">
      <c r="A181" s="220"/>
      <c r="B181" s="208"/>
      <c r="C181" s="211"/>
      <c r="D181" s="136" t="s">
        <v>262</v>
      </c>
    </row>
    <row r="182" spans="1:4" ht="13" x14ac:dyDescent="0.15">
      <c r="A182" s="220"/>
      <c r="B182" s="208"/>
      <c r="C182" s="211"/>
      <c r="D182" s="136" t="s">
        <v>263</v>
      </c>
    </row>
    <row r="183" spans="1:4" ht="14" thickBot="1" x14ac:dyDescent="0.2">
      <c r="A183" s="220"/>
      <c r="B183" s="208"/>
      <c r="C183" s="212"/>
      <c r="D183" s="137" t="s">
        <v>264</v>
      </c>
    </row>
    <row r="184" spans="1:4" ht="13" x14ac:dyDescent="0.15">
      <c r="A184" s="220"/>
      <c r="B184" s="208"/>
      <c r="C184" s="210" t="s">
        <v>265</v>
      </c>
      <c r="D184" s="134" t="s">
        <v>266</v>
      </c>
    </row>
    <row r="185" spans="1:4" ht="13" x14ac:dyDescent="0.15">
      <c r="A185" s="220"/>
      <c r="B185" s="208"/>
      <c r="C185" s="211"/>
      <c r="D185" s="134" t="s">
        <v>267</v>
      </c>
    </row>
    <row r="186" spans="1:4" ht="13" x14ac:dyDescent="0.15">
      <c r="A186" s="220"/>
      <c r="B186" s="208"/>
      <c r="C186" s="211"/>
      <c r="D186" s="134" t="s">
        <v>268</v>
      </c>
    </row>
    <row r="187" spans="1:4" ht="14" thickBot="1" x14ac:dyDescent="0.2">
      <c r="A187" s="220"/>
      <c r="B187" s="208"/>
      <c r="C187" s="212"/>
      <c r="D187" s="135" t="s">
        <v>269</v>
      </c>
    </row>
    <row r="188" spans="1:4" ht="13" x14ac:dyDescent="0.15">
      <c r="A188" s="220"/>
      <c r="B188" s="208"/>
      <c r="C188" s="210" t="s">
        <v>270</v>
      </c>
      <c r="D188" s="134" t="s">
        <v>271</v>
      </c>
    </row>
    <row r="189" spans="1:4" ht="13" x14ac:dyDescent="0.15">
      <c r="A189" s="220"/>
      <c r="B189" s="208"/>
      <c r="C189" s="211"/>
      <c r="D189" s="134" t="s">
        <v>272</v>
      </c>
    </row>
    <row r="190" spans="1:4" ht="13" x14ac:dyDescent="0.15">
      <c r="A190" s="220"/>
      <c r="B190" s="208"/>
      <c r="C190" s="211"/>
      <c r="D190" s="136" t="s">
        <v>273</v>
      </c>
    </row>
    <row r="191" spans="1:4" ht="13" x14ac:dyDescent="0.15">
      <c r="A191" s="220"/>
      <c r="B191" s="208"/>
      <c r="C191" s="211"/>
      <c r="D191" s="134" t="s">
        <v>274</v>
      </c>
    </row>
    <row r="192" spans="1:4" ht="14" thickBot="1" x14ac:dyDescent="0.2">
      <c r="A192" s="220"/>
      <c r="B192" s="208"/>
      <c r="C192" s="212"/>
      <c r="D192" s="135" t="s">
        <v>275</v>
      </c>
    </row>
    <row r="193" spans="1:4" ht="13" x14ac:dyDescent="0.15">
      <c r="A193" s="220"/>
      <c r="B193" s="208"/>
      <c r="C193" s="210" t="s">
        <v>276</v>
      </c>
      <c r="D193" s="134" t="s">
        <v>277</v>
      </c>
    </row>
    <row r="194" spans="1:4" ht="13" x14ac:dyDescent="0.15">
      <c r="A194" s="220"/>
      <c r="B194" s="208"/>
      <c r="C194" s="211"/>
      <c r="D194" s="134" t="s">
        <v>278</v>
      </c>
    </row>
    <row r="195" spans="1:4" ht="14" thickBot="1" x14ac:dyDescent="0.2">
      <c r="A195" s="220"/>
      <c r="B195" s="208"/>
      <c r="C195" s="212"/>
      <c r="D195" s="135" t="s">
        <v>279</v>
      </c>
    </row>
    <row r="196" spans="1:4" ht="13" x14ac:dyDescent="0.15">
      <c r="A196" s="220"/>
      <c r="B196" s="208"/>
      <c r="C196" s="210" t="s">
        <v>280</v>
      </c>
      <c r="D196" s="136" t="s">
        <v>281</v>
      </c>
    </row>
    <row r="197" spans="1:4" ht="14" thickBot="1" x14ac:dyDescent="0.2">
      <c r="A197" s="220"/>
      <c r="B197" s="208"/>
      <c r="C197" s="212"/>
      <c r="D197" s="135" t="s">
        <v>282</v>
      </c>
    </row>
    <row r="198" spans="1:4" ht="13" x14ac:dyDescent="0.15">
      <c r="A198" s="220"/>
      <c r="B198" s="208"/>
      <c r="C198" s="210" t="s">
        <v>283</v>
      </c>
      <c r="D198" s="136" t="s">
        <v>284</v>
      </c>
    </row>
    <row r="199" spans="1:4" ht="13" x14ac:dyDescent="0.15">
      <c r="A199" s="220"/>
      <c r="B199" s="208"/>
      <c r="C199" s="211"/>
      <c r="D199" s="136" t="s">
        <v>285</v>
      </c>
    </row>
    <row r="200" spans="1:4" ht="13" x14ac:dyDescent="0.15">
      <c r="A200" s="220"/>
      <c r="B200" s="208"/>
      <c r="C200" s="211"/>
      <c r="D200" s="136" t="s">
        <v>286</v>
      </c>
    </row>
    <row r="201" spans="1:4" ht="14" thickBot="1" x14ac:dyDescent="0.2">
      <c r="A201" s="220"/>
      <c r="B201" s="208"/>
      <c r="C201" s="212"/>
      <c r="D201" s="137" t="s">
        <v>287</v>
      </c>
    </row>
    <row r="202" spans="1:4" ht="13" x14ac:dyDescent="0.15">
      <c r="A202" s="220"/>
      <c r="B202" s="208"/>
      <c r="C202" s="210" t="s">
        <v>288</v>
      </c>
      <c r="D202" s="134" t="s">
        <v>289</v>
      </c>
    </row>
    <row r="203" spans="1:4" ht="13" x14ac:dyDescent="0.15">
      <c r="A203" s="220"/>
      <c r="B203" s="208"/>
      <c r="C203" s="211"/>
      <c r="D203" s="134" t="s">
        <v>290</v>
      </c>
    </row>
    <row r="204" spans="1:4" ht="13" x14ac:dyDescent="0.15">
      <c r="A204" s="220"/>
      <c r="B204" s="208"/>
      <c r="C204" s="211"/>
      <c r="D204" s="134" t="s">
        <v>291</v>
      </c>
    </row>
    <row r="205" spans="1:4" ht="14" thickBot="1" x14ac:dyDescent="0.2">
      <c r="A205" s="220"/>
      <c r="B205" s="208"/>
      <c r="C205" s="212"/>
      <c r="D205" s="135" t="s">
        <v>292</v>
      </c>
    </row>
    <row r="206" spans="1:4" ht="13" x14ac:dyDescent="0.15">
      <c r="A206" s="220"/>
      <c r="B206" s="208"/>
      <c r="C206" s="210" t="s">
        <v>293</v>
      </c>
      <c r="D206" s="134" t="s">
        <v>294</v>
      </c>
    </row>
    <row r="207" spans="1:4" ht="13" x14ac:dyDescent="0.15">
      <c r="A207" s="220"/>
      <c r="B207" s="208"/>
      <c r="C207" s="211"/>
      <c r="D207" s="134" t="s">
        <v>295</v>
      </c>
    </row>
    <row r="208" spans="1:4" ht="13" x14ac:dyDescent="0.15">
      <c r="A208" s="220"/>
      <c r="B208" s="208"/>
      <c r="C208" s="211"/>
      <c r="D208" s="134" t="s">
        <v>296</v>
      </c>
    </row>
    <row r="209" spans="1:4" ht="14" thickBot="1" x14ac:dyDescent="0.2">
      <c r="A209" s="220"/>
      <c r="B209" s="208"/>
      <c r="C209" s="212"/>
      <c r="D209" s="135" t="s">
        <v>297</v>
      </c>
    </row>
    <row r="210" spans="1:4" ht="13" x14ac:dyDescent="0.15">
      <c r="A210" s="220"/>
      <c r="B210" s="208"/>
      <c r="C210" s="210" t="s">
        <v>298</v>
      </c>
      <c r="D210" s="134" t="s">
        <v>299</v>
      </c>
    </row>
    <row r="211" spans="1:4" ht="14" thickBot="1" x14ac:dyDescent="0.2">
      <c r="A211" s="220"/>
      <c r="B211" s="209"/>
      <c r="C211" s="212"/>
      <c r="D211" s="135" t="s">
        <v>300</v>
      </c>
    </row>
    <row r="212" spans="1:4" ht="13" x14ac:dyDescent="0.15">
      <c r="A212" s="220"/>
      <c r="B212" s="207" t="s">
        <v>301</v>
      </c>
      <c r="C212" s="210" t="s">
        <v>302</v>
      </c>
      <c r="D212" s="134" t="s">
        <v>271</v>
      </c>
    </row>
    <row r="213" spans="1:4" ht="13" x14ac:dyDescent="0.15">
      <c r="A213" s="220"/>
      <c r="B213" s="208"/>
      <c r="C213" s="211"/>
      <c r="D213" s="134" t="s">
        <v>303</v>
      </c>
    </row>
    <row r="214" spans="1:4" ht="13" x14ac:dyDescent="0.15">
      <c r="A214" s="220"/>
      <c r="B214" s="208"/>
      <c r="C214" s="211"/>
      <c r="D214" s="134" t="s">
        <v>304</v>
      </c>
    </row>
    <row r="215" spans="1:4" ht="14" thickBot="1" x14ac:dyDescent="0.2">
      <c r="A215" s="220"/>
      <c r="B215" s="208"/>
      <c r="C215" s="212"/>
      <c r="D215" s="135" t="s">
        <v>305</v>
      </c>
    </row>
    <row r="216" spans="1:4" ht="13" x14ac:dyDescent="0.15">
      <c r="A216" s="220"/>
      <c r="B216" s="208"/>
      <c r="C216" s="210" t="s">
        <v>306</v>
      </c>
      <c r="D216" s="134" t="s">
        <v>307</v>
      </c>
    </row>
    <row r="217" spans="1:4" ht="13" x14ac:dyDescent="0.15">
      <c r="A217" s="220"/>
      <c r="B217" s="208"/>
      <c r="C217" s="211"/>
      <c r="D217" s="134" t="s">
        <v>308</v>
      </c>
    </row>
    <row r="218" spans="1:4" ht="13" x14ac:dyDescent="0.15">
      <c r="A218" s="220"/>
      <c r="B218" s="208"/>
      <c r="C218" s="211"/>
      <c r="D218" s="134" t="s">
        <v>309</v>
      </c>
    </row>
    <row r="219" spans="1:4" ht="14" thickBot="1" x14ac:dyDescent="0.2">
      <c r="A219" s="220"/>
      <c r="B219" s="209"/>
      <c r="C219" s="212"/>
      <c r="D219" s="135" t="s">
        <v>310</v>
      </c>
    </row>
    <row r="220" spans="1:4" ht="13" x14ac:dyDescent="0.15">
      <c r="A220" s="220"/>
      <c r="B220" s="207" t="s">
        <v>311</v>
      </c>
      <c r="C220" s="210" t="s">
        <v>312</v>
      </c>
      <c r="D220" s="136" t="s">
        <v>313</v>
      </c>
    </row>
    <row r="221" spans="1:4" ht="13" x14ac:dyDescent="0.15">
      <c r="A221" s="220"/>
      <c r="B221" s="208"/>
      <c r="C221" s="211"/>
      <c r="D221" s="136" t="s">
        <v>314</v>
      </c>
    </row>
    <row r="222" spans="1:4" ht="13" x14ac:dyDescent="0.15">
      <c r="A222" s="220"/>
      <c r="B222" s="208"/>
      <c r="C222" s="211"/>
      <c r="D222" s="136" t="s">
        <v>315</v>
      </c>
    </row>
    <row r="223" spans="1:4" ht="13" x14ac:dyDescent="0.15">
      <c r="A223" s="220"/>
      <c r="B223" s="208"/>
      <c r="C223" s="211"/>
      <c r="D223" s="136" t="s">
        <v>316</v>
      </c>
    </row>
    <row r="224" spans="1:4" ht="13" x14ac:dyDescent="0.15">
      <c r="A224" s="220"/>
      <c r="B224" s="208"/>
      <c r="C224" s="211"/>
      <c r="D224" s="136" t="s">
        <v>317</v>
      </c>
    </row>
    <row r="225" spans="1:4" ht="14" thickBot="1" x14ac:dyDescent="0.2">
      <c r="A225" s="220"/>
      <c r="B225" s="208"/>
      <c r="C225" s="212"/>
      <c r="D225" s="137" t="s">
        <v>318</v>
      </c>
    </row>
    <row r="226" spans="1:4" ht="13" x14ac:dyDescent="0.15">
      <c r="A226" s="220"/>
      <c r="B226" s="208"/>
      <c r="C226" s="210" t="s">
        <v>319</v>
      </c>
      <c r="D226" s="136" t="s">
        <v>320</v>
      </c>
    </row>
    <row r="227" spans="1:4" ht="13" x14ac:dyDescent="0.15">
      <c r="A227" s="220"/>
      <c r="B227" s="208"/>
      <c r="C227" s="211"/>
      <c r="D227" s="136" t="s">
        <v>321</v>
      </c>
    </row>
    <row r="228" spans="1:4" ht="13" x14ac:dyDescent="0.15">
      <c r="A228" s="220"/>
      <c r="B228" s="208"/>
      <c r="C228" s="211"/>
      <c r="D228" s="134" t="s">
        <v>322</v>
      </c>
    </row>
    <row r="229" spans="1:4" ht="14" thickBot="1" x14ac:dyDescent="0.2">
      <c r="A229" s="220"/>
      <c r="B229" s="208"/>
      <c r="C229" s="212"/>
      <c r="D229" s="137" t="s">
        <v>323</v>
      </c>
    </row>
    <row r="230" spans="1:4" ht="13" x14ac:dyDescent="0.15">
      <c r="A230" s="220"/>
      <c r="B230" s="208"/>
      <c r="C230" s="210" t="s">
        <v>324</v>
      </c>
      <c r="D230" s="136" t="s">
        <v>325</v>
      </c>
    </row>
    <row r="231" spans="1:4" ht="39" x14ac:dyDescent="0.15">
      <c r="A231" s="220"/>
      <c r="B231" s="208"/>
      <c r="C231" s="211"/>
      <c r="D231" s="136" t="s">
        <v>326</v>
      </c>
    </row>
    <row r="232" spans="1:4" ht="26" x14ac:dyDescent="0.15">
      <c r="A232" s="220"/>
      <c r="B232" s="208"/>
      <c r="C232" s="211"/>
      <c r="D232" s="136" t="s">
        <v>327</v>
      </c>
    </row>
    <row r="233" spans="1:4" ht="13" x14ac:dyDescent="0.15">
      <c r="A233" s="220"/>
      <c r="B233" s="208"/>
      <c r="C233" s="211"/>
      <c r="D233" s="136" t="s">
        <v>328</v>
      </c>
    </row>
    <row r="234" spans="1:4" ht="14" thickBot="1" x14ac:dyDescent="0.2">
      <c r="A234" s="220"/>
      <c r="B234" s="208"/>
      <c r="C234" s="212"/>
      <c r="D234" s="137" t="s">
        <v>329</v>
      </c>
    </row>
    <row r="235" spans="1:4" ht="13" x14ac:dyDescent="0.15">
      <c r="A235" s="220"/>
      <c r="B235" s="208"/>
      <c r="C235" s="210" t="s">
        <v>330</v>
      </c>
      <c r="D235" s="136" t="s">
        <v>331</v>
      </c>
    </row>
    <row r="236" spans="1:4" ht="13" x14ac:dyDescent="0.15">
      <c r="A236" s="220"/>
      <c r="B236" s="208"/>
      <c r="C236" s="211"/>
      <c r="D236" s="136" t="s">
        <v>320</v>
      </c>
    </row>
    <row r="237" spans="1:4" ht="26" x14ac:dyDescent="0.15">
      <c r="A237" s="220"/>
      <c r="B237" s="208"/>
      <c r="C237" s="211"/>
      <c r="D237" s="136" t="s">
        <v>332</v>
      </c>
    </row>
    <row r="238" spans="1:4" ht="13" x14ac:dyDescent="0.15">
      <c r="A238" s="220"/>
      <c r="B238" s="208"/>
      <c r="C238" s="211"/>
      <c r="D238" s="136" t="s">
        <v>333</v>
      </c>
    </row>
    <row r="239" spans="1:4" ht="14" thickBot="1" x14ac:dyDescent="0.2">
      <c r="A239" s="221"/>
      <c r="B239" s="209"/>
      <c r="C239" s="212"/>
      <c r="D239" s="137" t="s">
        <v>334</v>
      </c>
    </row>
    <row r="240" spans="1:4" ht="13" x14ac:dyDescent="0.15">
      <c r="A240" s="218" t="s">
        <v>12</v>
      </c>
      <c r="B240" s="207" t="s">
        <v>335</v>
      </c>
      <c r="C240" s="210" t="s">
        <v>336</v>
      </c>
      <c r="D240" s="134" t="s">
        <v>337</v>
      </c>
    </row>
    <row r="241" spans="1:4" ht="13" x14ac:dyDescent="0.15">
      <c r="A241" s="216"/>
      <c r="B241" s="214"/>
      <c r="C241" s="211"/>
      <c r="D241" s="136" t="s">
        <v>338</v>
      </c>
    </row>
    <row r="242" spans="1:4" ht="14" thickBot="1" x14ac:dyDescent="0.2">
      <c r="A242" s="216"/>
      <c r="B242" s="214"/>
      <c r="C242" s="212"/>
      <c r="D242" s="135" t="s">
        <v>339</v>
      </c>
    </row>
    <row r="243" spans="1:4" ht="13" x14ac:dyDescent="0.15">
      <c r="A243" s="216"/>
      <c r="B243" s="214"/>
      <c r="C243" s="210" t="s">
        <v>340</v>
      </c>
      <c r="D243" s="134" t="s">
        <v>341</v>
      </c>
    </row>
    <row r="244" spans="1:4" ht="13" x14ac:dyDescent="0.15">
      <c r="A244" s="216"/>
      <c r="B244" s="214"/>
      <c r="C244" s="211"/>
      <c r="D244" s="134" t="s">
        <v>342</v>
      </c>
    </row>
    <row r="245" spans="1:4" ht="13" x14ac:dyDescent="0.15">
      <c r="A245" s="216"/>
      <c r="B245" s="214"/>
      <c r="C245" s="211"/>
      <c r="D245" s="134" t="s">
        <v>343</v>
      </c>
    </row>
    <row r="246" spans="1:4" ht="14" thickBot="1" x14ac:dyDescent="0.2">
      <c r="A246" s="216"/>
      <c r="B246" s="214"/>
      <c r="C246" s="212"/>
      <c r="D246" s="135" t="s">
        <v>344</v>
      </c>
    </row>
    <row r="247" spans="1:4" ht="13" x14ac:dyDescent="0.15">
      <c r="A247" s="216"/>
      <c r="B247" s="214"/>
      <c r="C247" s="210" t="s">
        <v>345</v>
      </c>
      <c r="D247" s="134" t="s">
        <v>346</v>
      </c>
    </row>
    <row r="248" spans="1:4" ht="14" thickBot="1" x14ac:dyDescent="0.2">
      <c r="A248" s="216"/>
      <c r="B248" s="214"/>
      <c r="C248" s="212"/>
      <c r="D248" s="135" t="s">
        <v>347</v>
      </c>
    </row>
    <row r="249" spans="1:4" ht="13" x14ac:dyDescent="0.15">
      <c r="A249" s="216"/>
      <c r="B249" s="214"/>
      <c r="C249" s="210" t="s">
        <v>348</v>
      </c>
      <c r="D249" s="134" t="s">
        <v>349</v>
      </c>
    </row>
    <row r="250" spans="1:4" ht="14" thickBot="1" x14ac:dyDescent="0.2">
      <c r="A250" s="216"/>
      <c r="B250" s="214"/>
      <c r="C250" s="212"/>
      <c r="D250" s="135" t="s">
        <v>350</v>
      </c>
    </row>
    <row r="251" spans="1:4" ht="13" x14ac:dyDescent="0.15">
      <c r="A251" s="216"/>
      <c r="B251" s="214"/>
      <c r="C251" s="210" t="s">
        <v>351</v>
      </c>
      <c r="D251" s="134" t="s">
        <v>352</v>
      </c>
    </row>
    <row r="252" spans="1:4" ht="13" x14ac:dyDescent="0.15">
      <c r="A252" s="216"/>
      <c r="B252" s="214"/>
      <c r="C252" s="216"/>
      <c r="D252" s="134" t="s">
        <v>353</v>
      </c>
    </row>
    <row r="253" spans="1:4" ht="14" thickBot="1" x14ac:dyDescent="0.2">
      <c r="A253" s="216"/>
      <c r="B253" s="215"/>
      <c r="C253" s="217"/>
      <c r="D253" s="139" t="s">
        <v>354</v>
      </c>
    </row>
    <row r="254" spans="1:4" ht="13" x14ac:dyDescent="0.15">
      <c r="A254" s="216"/>
      <c r="B254" s="207" t="s">
        <v>355</v>
      </c>
      <c r="C254" s="210" t="s">
        <v>356</v>
      </c>
      <c r="D254" s="134" t="s">
        <v>357</v>
      </c>
    </row>
    <row r="255" spans="1:4" ht="13" x14ac:dyDescent="0.15">
      <c r="A255" s="216"/>
      <c r="B255" s="208"/>
      <c r="C255" s="211"/>
      <c r="D255" s="134" t="s">
        <v>358</v>
      </c>
    </row>
    <row r="256" spans="1:4" ht="13" x14ac:dyDescent="0.15">
      <c r="A256" s="216"/>
      <c r="B256" s="208"/>
      <c r="C256" s="211"/>
      <c r="D256" s="134" t="s">
        <v>359</v>
      </c>
    </row>
    <row r="257" spans="1:4" ht="14" thickBot="1" x14ac:dyDescent="0.2">
      <c r="A257" s="216"/>
      <c r="B257" s="208"/>
      <c r="C257" s="212"/>
      <c r="D257" s="135" t="s">
        <v>360</v>
      </c>
    </row>
    <row r="258" spans="1:4" ht="13" x14ac:dyDescent="0.15">
      <c r="A258" s="216"/>
      <c r="B258" s="208"/>
      <c r="C258" s="210" t="s">
        <v>361</v>
      </c>
      <c r="D258" s="134" t="s">
        <v>362</v>
      </c>
    </row>
    <row r="259" spans="1:4" ht="14" thickBot="1" x14ac:dyDescent="0.2">
      <c r="A259" s="216"/>
      <c r="B259" s="208"/>
      <c r="C259" s="212"/>
      <c r="D259" s="135" t="s">
        <v>363</v>
      </c>
    </row>
    <row r="260" spans="1:4" ht="13" x14ac:dyDescent="0.15">
      <c r="A260" s="216"/>
      <c r="B260" s="208"/>
      <c r="C260" s="210" t="s">
        <v>364</v>
      </c>
      <c r="D260" s="134" t="s">
        <v>359</v>
      </c>
    </row>
    <row r="261" spans="1:4" ht="13" x14ac:dyDescent="0.15">
      <c r="A261" s="216"/>
      <c r="B261" s="208"/>
      <c r="C261" s="211"/>
      <c r="D261" s="134" t="s">
        <v>365</v>
      </c>
    </row>
    <row r="262" spans="1:4" ht="14" thickBot="1" x14ac:dyDescent="0.2">
      <c r="A262" s="216"/>
      <c r="B262" s="208"/>
      <c r="C262" s="212"/>
      <c r="D262" s="135" t="s">
        <v>366</v>
      </c>
    </row>
    <row r="263" spans="1:4" ht="13" x14ac:dyDescent="0.15">
      <c r="A263" s="216"/>
      <c r="B263" s="208"/>
      <c r="C263" s="210" t="s">
        <v>367</v>
      </c>
      <c r="D263" s="134" t="s">
        <v>368</v>
      </c>
    </row>
    <row r="264" spans="1:4" ht="13" x14ac:dyDescent="0.15">
      <c r="A264" s="216"/>
      <c r="B264" s="208"/>
      <c r="C264" s="211"/>
      <c r="D264" s="134" t="s">
        <v>369</v>
      </c>
    </row>
    <row r="265" spans="1:4" ht="13" x14ac:dyDescent="0.15">
      <c r="A265" s="216"/>
      <c r="B265" s="208"/>
      <c r="C265" s="211"/>
      <c r="D265" s="134" t="s">
        <v>370</v>
      </c>
    </row>
    <row r="266" spans="1:4" ht="13" x14ac:dyDescent="0.15">
      <c r="A266" s="216"/>
      <c r="B266" s="208"/>
      <c r="C266" s="211"/>
      <c r="D266" s="134" t="s">
        <v>371</v>
      </c>
    </row>
    <row r="267" spans="1:4" ht="13" x14ac:dyDescent="0.15">
      <c r="A267" s="216"/>
      <c r="B267" s="208"/>
      <c r="C267" s="211"/>
      <c r="D267" s="136" t="s">
        <v>372</v>
      </c>
    </row>
    <row r="268" spans="1:4" ht="14" thickBot="1" x14ac:dyDescent="0.2">
      <c r="A268" s="216"/>
      <c r="B268" s="208"/>
      <c r="C268" s="212"/>
      <c r="D268" s="137" t="s">
        <v>373</v>
      </c>
    </row>
    <row r="269" spans="1:4" ht="13" x14ac:dyDescent="0.15">
      <c r="A269" s="216"/>
      <c r="B269" s="208"/>
      <c r="C269" s="210" t="s">
        <v>374</v>
      </c>
      <c r="D269" s="134" t="s">
        <v>375</v>
      </c>
    </row>
    <row r="270" spans="1:4" ht="13" x14ac:dyDescent="0.15">
      <c r="A270" s="216"/>
      <c r="B270" s="208"/>
      <c r="C270" s="211"/>
      <c r="D270" s="136" t="s">
        <v>376</v>
      </c>
    </row>
    <row r="271" spans="1:4" ht="14" thickBot="1" x14ac:dyDescent="0.2">
      <c r="A271" s="216"/>
      <c r="B271" s="208"/>
      <c r="C271" s="212"/>
      <c r="D271" s="137" t="s">
        <v>377</v>
      </c>
    </row>
    <row r="272" spans="1:4" ht="13" x14ac:dyDescent="0.15">
      <c r="A272" s="216"/>
      <c r="B272" s="208"/>
      <c r="C272" s="210" t="s">
        <v>378</v>
      </c>
      <c r="D272" s="134" t="s">
        <v>379</v>
      </c>
    </row>
    <row r="273" spans="1:4" ht="13" x14ac:dyDescent="0.15">
      <c r="A273" s="216"/>
      <c r="B273" s="208"/>
      <c r="C273" s="211"/>
      <c r="D273" s="134" t="s">
        <v>380</v>
      </c>
    </row>
    <row r="274" spans="1:4" ht="14" thickBot="1" x14ac:dyDescent="0.2">
      <c r="A274" s="216"/>
      <c r="B274" s="208"/>
      <c r="C274" s="212"/>
      <c r="D274" s="135" t="s">
        <v>381</v>
      </c>
    </row>
    <row r="275" spans="1:4" ht="27" thickBot="1" x14ac:dyDescent="0.2">
      <c r="A275" s="216"/>
      <c r="B275" s="208"/>
      <c r="C275" s="138" t="s">
        <v>382</v>
      </c>
      <c r="D275" s="135" t="s">
        <v>383</v>
      </c>
    </row>
    <row r="276" spans="1:4" ht="13" x14ac:dyDescent="0.15">
      <c r="A276" s="216"/>
      <c r="B276" s="208"/>
      <c r="C276" s="210" t="s">
        <v>384</v>
      </c>
      <c r="D276" s="134" t="s">
        <v>385</v>
      </c>
    </row>
    <row r="277" spans="1:4" ht="13" x14ac:dyDescent="0.15">
      <c r="A277" s="216"/>
      <c r="B277" s="208"/>
      <c r="C277" s="211"/>
      <c r="D277" s="134" t="s">
        <v>386</v>
      </c>
    </row>
    <row r="278" spans="1:4" ht="13" x14ac:dyDescent="0.15">
      <c r="A278" s="216"/>
      <c r="B278" s="208"/>
      <c r="C278" s="211"/>
      <c r="D278" s="134" t="s">
        <v>138</v>
      </c>
    </row>
    <row r="279" spans="1:4" ht="14" thickBot="1" x14ac:dyDescent="0.2">
      <c r="A279" s="216"/>
      <c r="B279" s="209"/>
      <c r="C279" s="212"/>
      <c r="D279" s="135" t="s">
        <v>387</v>
      </c>
    </row>
    <row r="280" spans="1:4" ht="13" x14ac:dyDescent="0.15">
      <c r="A280" s="216"/>
      <c r="B280" s="207" t="s">
        <v>388</v>
      </c>
      <c r="C280" s="210" t="s">
        <v>389</v>
      </c>
      <c r="D280" s="136" t="s">
        <v>368</v>
      </c>
    </row>
    <row r="281" spans="1:4" ht="13" x14ac:dyDescent="0.15">
      <c r="A281" s="216"/>
      <c r="B281" s="208"/>
      <c r="C281" s="211"/>
      <c r="D281" s="134" t="s">
        <v>369</v>
      </c>
    </row>
    <row r="282" spans="1:4" ht="13" x14ac:dyDescent="0.15">
      <c r="A282" s="216"/>
      <c r="B282" s="208"/>
      <c r="C282" s="211"/>
      <c r="D282" s="136" t="s">
        <v>390</v>
      </c>
    </row>
    <row r="283" spans="1:4" ht="13" x14ac:dyDescent="0.15">
      <c r="A283" s="216"/>
      <c r="B283" s="208"/>
      <c r="C283" s="211"/>
      <c r="D283" s="136" t="s">
        <v>79</v>
      </c>
    </row>
    <row r="284" spans="1:4" ht="14" thickBot="1" x14ac:dyDescent="0.2">
      <c r="A284" s="216"/>
      <c r="B284" s="208"/>
      <c r="C284" s="212"/>
      <c r="D284" s="135" t="s">
        <v>391</v>
      </c>
    </row>
    <row r="285" spans="1:4" ht="13" x14ac:dyDescent="0.15">
      <c r="A285" s="216"/>
      <c r="B285" s="208"/>
      <c r="C285" s="210" t="s">
        <v>392</v>
      </c>
      <c r="D285" s="136" t="s">
        <v>393</v>
      </c>
    </row>
    <row r="286" spans="1:4" ht="13" x14ac:dyDescent="0.15">
      <c r="A286" s="216"/>
      <c r="B286" s="208"/>
      <c r="C286" s="211"/>
      <c r="D286" s="136" t="s">
        <v>394</v>
      </c>
    </row>
    <row r="287" spans="1:4" ht="14" thickBot="1" x14ac:dyDescent="0.2">
      <c r="A287" s="216"/>
      <c r="B287" s="208"/>
      <c r="C287" s="212"/>
      <c r="D287" s="137" t="s">
        <v>395</v>
      </c>
    </row>
    <row r="288" spans="1:4" ht="13" x14ac:dyDescent="0.15">
      <c r="A288" s="216"/>
      <c r="B288" s="208"/>
      <c r="C288" s="210" t="s">
        <v>396</v>
      </c>
      <c r="D288" s="136" t="s">
        <v>397</v>
      </c>
    </row>
    <row r="289" spans="1:4" ht="13" x14ac:dyDescent="0.15">
      <c r="A289" s="216"/>
      <c r="B289" s="208"/>
      <c r="C289" s="211"/>
      <c r="D289" s="136" t="s">
        <v>393</v>
      </c>
    </row>
    <row r="290" spans="1:4" ht="13" x14ac:dyDescent="0.15">
      <c r="A290" s="216"/>
      <c r="B290" s="208"/>
      <c r="C290" s="211"/>
      <c r="D290" s="136" t="s">
        <v>290</v>
      </c>
    </row>
    <row r="291" spans="1:4" ht="13" x14ac:dyDescent="0.15">
      <c r="A291" s="216"/>
      <c r="B291" s="208"/>
      <c r="C291" s="211"/>
      <c r="D291" s="136" t="s">
        <v>398</v>
      </c>
    </row>
    <row r="292" spans="1:4" ht="14" thickBot="1" x14ac:dyDescent="0.2">
      <c r="A292" s="216"/>
      <c r="B292" s="208"/>
      <c r="C292" s="212"/>
      <c r="D292" s="137" t="s">
        <v>399</v>
      </c>
    </row>
    <row r="293" spans="1:4" ht="13" x14ac:dyDescent="0.15">
      <c r="A293" s="216"/>
      <c r="B293" s="208"/>
      <c r="C293" s="210" t="s">
        <v>400</v>
      </c>
      <c r="D293" s="134" t="s">
        <v>349</v>
      </c>
    </row>
    <row r="294" spans="1:4" ht="13" x14ac:dyDescent="0.15">
      <c r="A294" s="216"/>
      <c r="B294" s="208"/>
      <c r="C294" s="211"/>
      <c r="D294" s="134" t="s">
        <v>401</v>
      </c>
    </row>
    <row r="295" spans="1:4" ht="13" x14ac:dyDescent="0.15">
      <c r="A295" s="216"/>
      <c r="B295" s="208"/>
      <c r="C295" s="211"/>
      <c r="D295" s="134" t="s">
        <v>346</v>
      </c>
    </row>
    <row r="296" spans="1:4" ht="13" x14ac:dyDescent="0.15">
      <c r="A296" s="216"/>
      <c r="B296" s="208"/>
      <c r="C296" s="211"/>
      <c r="D296" s="134" t="s">
        <v>402</v>
      </c>
    </row>
    <row r="297" spans="1:4" ht="14" thickBot="1" x14ac:dyDescent="0.2">
      <c r="A297" s="216"/>
      <c r="B297" s="208"/>
      <c r="C297" s="212"/>
      <c r="D297" s="135" t="s">
        <v>403</v>
      </c>
    </row>
    <row r="298" spans="1:4" ht="13" x14ac:dyDescent="0.15">
      <c r="A298" s="216"/>
      <c r="B298" s="208"/>
      <c r="C298" s="210" t="s">
        <v>404</v>
      </c>
      <c r="D298" s="134" t="s">
        <v>277</v>
      </c>
    </row>
    <row r="299" spans="1:4" ht="13" x14ac:dyDescent="0.15">
      <c r="A299" s="216"/>
      <c r="B299" s="208"/>
      <c r="C299" s="211"/>
      <c r="D299" s="134" t="s">
        <v>405</v>
      </c>
    </row>
    <row r="300" spans="1:4" ht="13" x14ac:dyDescent="0.15">
      <c r="A300" s="216"/>
      <c r="B300" s="208"/>
      <c r="C300" s="211"/>
      <c r="D300" s="134" t="s">
        <v>406</v>
      </c>
    </row>
    <row r="301" spans="1:4" ht="14" thickBot="1" x14ac:dyDescent="0.2">
      <c r="A301" s="217"/>
      <c r="B301" s="209"/>
      <c r="C301" s="212"/>
      <c r="D301" s="135" t="s">
        <v>407</v>
      </c>
    </row>
    <row r="302" spans="1:4" ht="13" x14ac:dyDescent="0.15">
      <c r="A302" s="213" t="s">
        <v>13</v>
      </c>
      <c r="B302" s="207" t="s">
        <v>408</v>
      </c>
      <c r="C302" s="210" t="s">
        <v>409</v>
      </c>
      <c r="D302" s="136" t="s">
        <v>410</v>
      </c>
    </row>
    <row r="303" spans="1:4" ht="13" x14ac:dyDescent="0.15">
      <c r="A303" s="214"/>
      <c r="B303" s="208"/>
      <c r="C303" s="211"/>
      <c r="D303" s="136" t="s">
        <v>411</v>
      </c>
    </row>
    <row r="304" spans="1:4" ht="13" x14ac:dyDescent="0.15">
      <c r="A304" s="214"/>
      <c r="B304" s="208"/>
      <c r="C304" s="211"/>
      <c r="D304" s="136" t="s">
        <v>412</v>
      </c>
    </row>
    <row r="305" spans="1:4" ht="13" x14ac:dyDescent="0.15">
      <c r="A305" s="214"/>
      <c r="B305" s="208"/>
      <c r="C305" s="211"/>
      <c r="D305" s="136" t="s">
        <v>413</v>
      </c>
    </row>
    <row r="306" spans="1:4" ht="14" thickBot="1" x14ac:dyDescent="0.2">
      <c r="A306" s="214"/>
      <c r="B306" s="209"/>
      <c r="C306" s="212"/>
      <c r="D306" s="135" t="s">
        <v>414</v>
      </c>
    </row>
    <row r="307" spans="1:4" ht="13" x14ac:dyDescent="0.15">
      <c r="A307" s="214"/>
      <c r="B307" s="207" t="s">
        <v>415</v>
      </c>
      <c r="C307" s="210" t="s">
        <v>416</v>
      </c>
      <c r="D307" s="136" t="s">
        <v>417</v>
      </c>
    </row>
    <row r="308" spans="1:4" ht="13" x14ac:dyDescent="0.15">
      <c r="A308" s="214"/>
      <c r="B308" s="214"/>
      <c r="C308" s="216"/>
      <c r="D308" s="136" t="s">
        <v>418</v>
      </c>
    </row>
    <row r="309" spans="1:4" ht="14" thickBot="1" x14ac:dyDescent="0.2">
      <c r="A309" s="214"/>
      <c r="B309" s="214"/>
      <c r="C309" s="217"/>
      <c r="D309" s="140" t="s">
        <v>419</v>
      </c>
    </row>
    <row r="310" spans="1:4" ht="13" x14ac:dyDescent="0.15">
      <c r="A310" s="214"/>
      <c r="B310" s="214"/>
      <c r="C310" s="210" t="s">
        <v>420</v>
      </c>
      <c r="D310" s="136" t="s">
        <v>421</v>
      </c>
    </row>
    <row r="311" spans="1:4" ht="13" x14ac:dyDescent="0.15">
      <c r="A311" s="214"/>
      <c r="B311" s="214"/>
      <c r="C311" s="211"/>
      <c r="D311" s="136" t="s">
        <v>422</v>
      </c>
    </row>
    <row r="312" spans="1:4" ht="14" thickBot="1" x14ac:dyDescent="0.2">
      <c r="A312" s="214"/>
      <c r="B312" s="214"/>
      <c r="C312" s="212"/>
      <c r="D312" s="137" t="s">
        <v>423</v>
      </c>
    </row>
    <row r="313" spans="1:4" ht="13" x14ac:dyDescent="0.15">
      <c r="A313" s="214"/>
      <c r="B313" s="214"/>
      <c r="C313" s="210" t="s">
        <v>424</v>
      </c>
      <c r="D313" s="136" t="s">
        <v>425</v>
      </c>
    </row>
    <row r="314" spans="1:4" ht="13" x14ac:dyDescent="0.15">
      <c r="A314" s="214"/>
      <c r="B314" s="214"/>
      <c r="C314" s="211"/>
      <c r="D314" s="136" t="s">
        <v>426</v>
      </c>
    </row>
    <row r="315" spans="1:4" ht="14" thickBot="1" x14ac:dyDescent="0.2">
      <c r="A315" s="214"/>
      <c r="B315" s="214"/>
      <c r="C315" s="212"/>
      <c r="D315" s="137" t="s">
        <v>427</v>
      </c>
    </row>
    <row r="316" spans="1:4" ht="13" x14ac:dyDescent="0.15">
      <c r="A316" s="214"/>
      <c r="B316" s="214"/>
      <c r="C316" s="210" t="s">
        <v>428</v>
      </c>
      <c r="D316" s="136" t="s">
        <v>429</v>
      </c>
    </row>
    <row r="317" spans="1:4" ht="14" thickBot="1" x14ac:dyDescent="0.2">
      <c r="A317" s="214"/>
      <c r="B317" s="214"/>
      <c r="C317" s="212"/>
      <c r="D317" s="137" t="s">
        <v>430</v>
      </c>
    </row>
    <row r="318" spans="1:4" ht="40" thickBot="1" x14ac:dyDescent="0.2">
      <c r="A318" s="214"/>
      <c r="B318" s="215"/>
      <c r="C318" s="138" t="s">
        <v>431</v>
      </c>
      <c r="D318" s="135" t="s">
        <v>432</v>
      </c>
    </row>
    <row r="319" spans="1:4" ht="13" x14ac:dyDescent="0.15">
      <c r="A319" s="214"/>
      <c r="B319" s="207" t="s">
        <v>433</v>
      </c>
      <c r="C319" s="210" t="s">
        <v>434</v>
      </c>
      <c r="D319" s="136" t="s">
        <v>435</v>
      </c>
    </row>
    <row r="320" spans="1:4" ht="13" x14ac:dyDescent="0.15">
      <c r="A320" s="214"/>
      <c r="B320" s="208"/>
      <c r="C320" s="211"/>
      <c r="D320" s="136" t="s">
        <v>436</v>
      </c>
    </row>
    <row r="321" spans="1:4" ht="13" x14ac:dyDescent="0.15">
      <c r="A321" s="214"/>
      <c r="B321" s="208"/>
      <c r="C321" s="211"/>
      <c r="D321" s="136" t="s">
        <v>437</v>
      </c>
    </row>
    <row r="322" spans="1:4" ht="13" x14ac:dyDescent="0.15">
      <c r="A322" s="214"/>
      <c r="B322" s="208"/>
      <c r="C322" s="211"/>
      <c r="D322" s="136" t="s">
        <v>438</v>
      </c>
    </row>
    <row r="323" spans="1:4" ht="14" thickBot="1" x14ac:dyDescent="0.2">
      <c r="A323" s="214"/>
      <c r="B323" s="208"/>
      <c r="C323" s="212"/>
      <c r="D323" s="137" t="s">
        <v>439</v>
      </c>
    </row>
    <row r="324" spans="1:4" ht="13" x14ac:dyDescent="0.15">
      <c r="A324" s="214"/>
      <c r="B324" s="208"/>
      <c r="C324" s="210" t="s">
        <v>440</v>
      </c>
      <c r="D324" s="136" t="s">
        <v>441</v>
      </c>
    </row>
    <row r="325" spans="1:4" ht="13" x14ac:dyDescent="0.15">
      <c r="A325" s="214"/>
      <c r="B325" s="208"/>
      <c r="C325" s="211"/>
      <c r="D325" s="136" t="s">
        <v>442</v>
      </c>
    </row>
    <row r="326" spans="1:4" ht="14" thickBot="1" x14ac:dyDescent="0.2">
      <c r="A326" s="214"/>
      <c r="B326" s="208"/>
      <c r="C326" s="212"/>
      <c r="D326" s="137" t="s">
        <v>443</v>
      </c>
    </row>
    <row r="327" spans="1:4" ht="13" x14ac:dyDescent="0.15">
      <c r="A327" s="214"/>
      <c r="B327" s="208"/>
      <c r="C327" s="210" t="s">
        <v>444</v>
      </c>
      <c r="D327" s="136" t="s">
        <v>445</v>
      </c>
    </row>
    <row r="328" spans="1:4" ht="13" x14ac:dyDescent="0.15">
      <c r="A328" s="214"/>
      <c r="B328" s="208"/>
      <c r="C328" s="211"/>
      <c r="D328" s="136" t="s">
        <v>446</v>
      </c>
    </row>
    <row r="329" spans="1:4" ht="14" thickBot="1" x14ac:dyDescent="0.2">
      <c r="A329" s="214"/>
      <c r="B329" s="208"/>
      <c r="C329" s="212"/>
      <c r="D329" s="137" t="s">
        <v>447</v>
      </c>
    </row>
    <row r="330" spans="1:4" ht="13" x14ac:dyDescent="0.15">
      <c r="A330" s="214"/>
      <c r="B330" s="208"/>
      <c r="C330" s="210" t="s">
        <v>448</v>
      </c>
      <c r="D330" s="136" t="s">
        <v>449</v>
      </c>
    </row>
    <row r="331" spans="1:4" ht="13" x14ac:dyDescent="0.15">
      <c r="A331" s="214"/>
      <c r="B331" s="208"/>
      <c r="C331" s="211"/>
      <c r="D331" s="136" t="s">
        <v>450</v>
      </c>
    </row>
    <row r="332" spans="1:4" ht="14" thickBot="1" x14ac:dyDescent="0.2">
      <c r="A332" s="214"/>
      <c r="B332" s="209"/>
      <c r="C332" s="212"/>
      <c r="D332" s="137" t="s">
        <v>451</v>
      </c>
    </row>
    <row r="333" spans="1:4" ht="13" x14ac:dyDescent="0.15">
      <c r="A333" s="214"/>
      <c r="B333" s="207" t="s">
        <v>452</v>
      </c>
      <c r="C333" s="210" t="s">
        <v>453</v>
      </c>
      <c r="D333" s="136" t="s">
        <v>449</v>
      </c>
    </row>
    <row r="334" spans="1:4" ht="13" x14ac:dyDescent="0.15">
      <c r="A334" s="214"/>
      <c r="B334" s="216"/>
      <c r="C334" s="211"/>
      <c r="D334" s="136" t="s">
        <v>454</v>
      </c>
    </row>
    <row r="335" spans="1:4" ht="13" x14ac:dyDescent="0.15">
      <c r="A335" s="214"/>
      <c r="B335" s="216"/>
      <c r="C335" s="211"/>
      <c r="D335" s="136" t="s">
        <v>455</v>
      </c>
    </row>
    <row r="336" spans="1:4" ht="14" thickBot="1" x14ac:dyDescent="0.2">
      <c r="A336" s="214"/>
      <c r="B336" s="216"/>
      <c r="C336" s="212"/>
      <c r="D336" s="137" t="s">
        <v>456</v>
      </c>
    </row>
    <row r="337" spans="1:4" ht="13" x14ac:dyDescent="0.15">
      <c r="A337" s="214"/>
      <c r="B337" s="216"/>
      <c r="C337" s="210" t="s">
        <v>457</v>
      </c>
      <c r="D337" s="136" t="s">
        <v>458</v>
      </c>
    </row>
    <row r="338" spans="1:4" ht="13" x14ac:dyDescent="0.15">
      <c r="A338" s="214"/>
      <c r="B338" s="216"/>
      <c r="C338" s="211"/>
      <c r="D338" s="136" t="s">
        <v>459</v>
      </c>
    </row>
    <row r="339" spans="1:4" ht="14" thickBot="1" x14ac:dyDescent="0.2">
      <c r="A339" s="214"/>
      <c r="B339" s="216"/>
      <c r="C339" s="212"/>
      <c r="D339" s="137" t="s">
        <v>456</v>
      </c>
    </row>
    <row r="340" spans="1:4" ht="13" x14ac:dyDescent="0.15">
      <c r="A340" s="214"/>
      <c r="B340" s="216"/>
      <c r="C340" s="210" t="s">
        <v>460</v>
      </c>
      <c r="D340" s="134" t="s">
        <v>461</v>
      </c>
    </row>
    <row r="341" spans="1:4" ht="14" thickBot="1" x14ac:dyDescent="0.2">
      <c r="A341" s="214"/>
      <c r="B341" s="217"/>
      <c r="C341" s="212"/>
      <c r="D341" s="135" t="s">
        <v>462</v>
      </c>
    </row>
    <row r="342" spans="1:4" ht="13" x14ac:dyDescent="0.15">
      <c r="A342" s="214"/>
      <c r="B342" s="207" t="s">
        <v>463</v>
      </c>
      <c r="C342" s="210" t="s">
        <v>464</v>
      </c>
      <c r="D342" s="136" t="s">
        <v>465</v>
      </c>
    </row>
    <row r="343" spans="1:4" ht="13" x14ac:dyDescent="0.15">
      <c r="A343" s="214"/>
      <c r="B343" s="208"/>
      <c r="C343" s="211"/>
      <c r="D343" s="136" t="s">
        <v>466</v>
      </c>
    </row>
    <row r="344" spans="1:4" ht="13" x14ac:dyDescent="0.15">
      <c r="A344" s="214"/>
      <c r="B344" s="208"/>
      <c r="C344" s="211"/>
      <c r="D344" s="136" t="s">
        <v>442</v>
      </c>
    </row>
    <row r="345" spans="1:4" ht="14" thickBot="1" x14ac:dyDescent="0.2">
      <c r="A345" s="214"/>
      <c r="B345" s="208"/>
      <c r="C345" s="212"/>
      <c r="D345" s="137" t="s">
        <v>430</v>
      </c>
    </row>
    <row r="346" spans="1:4" ht="14" thickBot="1" x14ac:dyDescent="0.2">
      <c r="A346" s="215"/>
      <c r="B346" s="209"/>
      <c r="C346" s="138" t="s">
        <v>467</v>
      </c>
      <c r="D346" s="135" t="s">
        <v>430</v>
      </c>
    </row>
    <row r="347" spans="1:4" ht="13" x14ac:dyDescent="0.15">
      <c r="A347" s="204" t="s">
        <v>14</v>
      </c>
      <c r="B347" s="207" t="s">
        <v>468</v>
      </c>
      <c r="C347" s="210" t="s">
        <v>469</v>
      </c>
      <c r="D347" s="136" t="s">
        <v>470</v>
      </c>
    </row>
    <row r="348" spans="1:4" ht="13" x14ac:dyDescent="0.15">
      <c r="A348" s="205"/>
      <c r="B348" s="208"/>
      <c r="C348" s="211"/>
      <c r="D348" s="136" t="s">
        <v>471</v>
      </c>
    </row>
    <row r="349" spans="1:4" ht="13" x14ac:dyDescent="0.15">
      <c r="A349" s="205"/>
      <c r="B349" s="208"/>
      <c r="C349" s="211"/>
      <c r="D349" s="136" t="s">
        <v>455</v>
      </c>
    </row>
    <row r="350" spans="1:4" ht="14" thickBot="1" x14ac:dyDescent="0.2">
      <c r="A350" s="205"/>
      <c r="B350" s="209"/>
      <c r="C350" s="212"/>
      <c r="D350" s="137" t="s">
        <v>472</v>
      </c>
    </row>
    <row r="351" spans="1:4" ht="13" x14ac:dyDescent="0.15">
      <c r="A351" s="205"/>
      <c r="B351" s="207" t="s">
        <v>473</v>
      </c>
      <c r="C351" s="210" t="s">
        <v>474</v>
      </c>
      <c r="D351" s="136" t="s">
        <v>475</v>
      </c>
    </row>
    <row r="352" spans="1:4" ht="13" x14ac:dyDescent="0.15">
      <c r="A352" s="205"/>
      <c r="B352" s="208"/>
      <c r="C352" s="211"/>
      <c r="D352" s="136" t="s">
        <v>476</v>
      </c>
    </row>
    <row r="353" spans="1:4" ht="14" thickBot="1" x14ac:dyDescent="0.2">
      <c r="A353" s="205"/>
      <c r="B353" s="208"/>
      <c r="C353" s="212"/>
      <c r="D353" s="135" t="s">
        <v>430</v>
      </c>
    </row>
    <row r="354" spans="1:4" ht="13" x14ac:dyDescent="0.15">
      <c r="A354" s="205"/>
      <c r="B354" s="208"/>
      <c r="C354" s="210" t="s">
        <v>477</v>
      </c>
      <c r="D354" s="136" t="s">
        <v>478</v>
      </c>
    </row>
    <row r="355" spans="1:4" ht="14" thickBot="1" x14ac:dyDescent="0.2">
      <c r="A355" s="205"/>
      <c r="B355" s="209"/>
      <c r="C355" s="212"/>
      <c r="D355" s="137" t="s">
        <v>479</v>
      </c>
    </row>
    <row r="356" spans="1:4" ht="14" thickBot="1" x14ac:dyDescent="0.2">
      <c r="A356" s="205"/>
      <c r="B356" s="207" t="s">
        <v>480</v>
      </c>
      <c r="C356" s="138" t="s">
        <v>481</v>
      </c>
      <c r="D356" s="135" t="s">
        <v>482</v>
      </c>
    </row>
    <row r="357" spans="1:4" ht="14" thickBot="1" x14ac:dyDescent="0.2">
      <c r="A357" s="205"/>
      <c r="B357" s="208"/>
      <c r="C357" s="138" t="s">
        <v>483</v>
      </c>
      <c r="D357" s="137" t="s">
        <v>484</v>
      </c>
    </row>
    <row r="358" spans="1:4" ht="27" thickBot="1" x14ac:dyDescent="0.2">
      <c r="A358" s="206"/>
      <c r="B358" s="209"/>
      <c r="C358" s="138" t="s">
        <v>485</v>
      </c>
      <c r="D358" s="137" t="s">
        <v>486</v>
      </c>
    </row>
  </sheetData>
  <mergeCells count="118">
    <mergeCell ref="B59:B77"/>
    <mergeCell ref="C59:C63"/>
    <mergeCell ref="C64:C66"/>
    <mergeCell ref="C67:C69"/>
    <mergeCell ref="C70:C72"/>
    <mergeCell ref="C73:C75"/>
    <mergeCell ref="C76:C77"/>
    <mergeCell ref="C34:C35"/>
    <mergeCell ref="C36:C38"/>
    <mergeCell ref="C39:C40"/>
    <mergeCell ref="C41:C43"/>
    <mergeCell ref="B44:B58"/>
    <mergeCell ref="C44:C47"/>
    <mergeCell ref="C48:C51"/>
    <mergeCell ref="C52:C55"/>
    <mergeCell ref="C56:C58"/>
    <mergeCell ref="B31:B43"/>
    <mergeCell ref="C31:C33"/>
    <mergeCell ref="B78:B84"/>
    <mergeCell ref="C78:C80"/>
    <mergeCell ref="C81:C83"/>
    <mergeCell ref="A85:A239"/>
    <mergeCell ref="B85:B108"/>
    <mergeCell ref="C85:C90"/>
    <mergeCell ref="C91:C94"/>
    <mergeCell ref="C95:C99"/>
    <mergeCell ref="C100:C104"/>
    <mergeCell ref="C105:C108"/>
    <mergeCell ref="A3:A84"/>
    <mergeCell ref="B3:B30"/>
    <mergeCell ref="C3:C8"/>
    <mergeCell ref="C9:C14"/>
    <mergeCell ref="C15:C19"/>
    <mergeCell ref="C20:C22"/>
    <mergeCell ref="C23:C26"/>
    <mergeCell ref="C27:C30"/>
    <mergeCell ref="B134:B163"/>
    <mergeCell ref="C134:C138"/>
    <mergeCell ref="C139:C143"/>
    <mergeCell ref="C144:C148"/>
    <mergeCell ref="C149:C152"/>
    <mergeCell ref="C153:C157"/>
    <mergeCell ref="C158:C160"/>
    <mergeCell ref="C161:C163"/>
    <mergeCell ref="B109:B133"/>
    <mergeCell ref="C109:C113"/>
    <mergeCell ref="C114:C118"/>
    <mergeCell ref="C119:C123"/>
    <mergeCell ref="C124:C128"/>
    <mergeCell ref="C129:C133"/>
    <mergeCell ref="C202:C205"/>
    <mergeCell ref="C206:C209"/>
    <mergeCell ref="C210:C211"/>
    <mergeCell ref="B212:B219"/>
    <mergeCell ref="C212:C215"/>
    <mergeCell ref="C216:C219"/>
    <mergeCell ref="B164:B211"/>
    <mergeCell ref="C164:C169"/>
    <mergeCell ref="C170:C173"/>
    <mergeCell ref="C174:C178"/>
    <mergeCell ref="C179:C183"/>
    <mergeCell ref="C184:C187"/>
    <mergeCell ref="C188:C192"/>
    <mergeCell ref="C193:C195"/>
    <mergeCell ref="C196:C197"/>
    <mergeCell ref="C198:C201"/>
    <mergeCell ref="B220:B239"/>
    <mergeCell ref="C220:C225"/>
    <mergeCell ref="C226:C229"/>
    <mergeCell ref="C230:C234"/>
    <mergeCell ref="C235:C239"/>
    <mergeCell ref="A240:A301"/>
    <mergeCell ref="B240:B253"/>
    <mergeCell ref="C240:C242"/>
    <mergeCell ref="C243:C246"/>
    <mergeCell ref="C247:C248"/>
    <mergeCell ref="B280:B301"/>
    <mergeCell ref="C280:C284"/>
    <mergeCell ref="C285:C287"/>
    <mergeCell ref="C288:C292"/>
    <mergeCell ref="C293:C297"/>
    <mergeCell ref="C298:C301"/>
    <mergeCell ref="C249:C250"/>
    <mergeCell ref="C251:C253"/>
    <mergeCell ref="B254:B279"/>
    <mergeCell ref="C254:C257"/>
    <mergeCell ref="C258:C259"/>
    <mergeCell ref="C260:C262"/>
    <mergeCell ref="C263:C268"/>
    <mergeCell ref="C269:C271"/>
    <mergeCell ref="C272:C274"/>
    <mergeCell ref="C276:C279"/>
    <mergeCell ref="C324:C326"/>
    <mergeCell ref="C327:C329"/>
    <mergeCell ref="C330:C332"/>
    <mergeCell ref="B333:B341"/>
    <mergeCell ref="C333:C336"/>
    <mergeCell ref="C337:C339"/>
    <mergeCell ref="C340:C341"/>
    <mergeCell ref="A347:A358"/>
    <mergeCell ref="B347:B350"/>
    <mergeCell ref="C347:C350"/>
    <mergeCell ref="B351:B355"/>
    <mergeCell ref="C351:C353"/>
    <mergeCell ref="C354:C355"/>
    <mergeCell ref="B356:B358"/>
    <mergeCell ref="A302:A346"/>
    <mergeCell ref="B302:B306"/>
    <mergeCell ref="C302:C306"/>
    <mergeCell ref="B307:B318"/>
    <mergeCell ref="C307:C309"/>
    <mergeCell ref="C310:C312"/>
    <mergeCell ref="C313:C315"/>
    <mergeCell ref="C316:C317"/>
    <mergeCell ref="B319:B332"/>
    <mergeCell ref="C319:C323"/>
    <mergeCell ref="B342:B346"/>
    <mergeCell ref="C342:C345"/>
  </mergeCells>
  <pageMargins left="0.75" right="0.75" top="1" bottom="1" header="0.5" footer="0.5"/>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I43"/>
  <sheetViews>
    <sheetView workbookViewId="0">
      <selection activeCell="C3" sqref="C3:C43"/>
    </sheetView>
  </sheetViews>
  <sheetFormatPr baseColWidth="10" defaultColWidth="8.83203125" defaultRowHeight="15" x14ac:dyDescent="0.2"/>
  <cols>
    <col min="1" max="1" width="34.83203125" bestFit="1" customWidth="1"/>
    <col min="2" max="2" width="54.33203125" bestFit="1" customWidth="1"/>
    <col min="3" max="3" width="84.6640625" bestFit="1" customWidth="1"/>
    <col min="4" max="5" width="8.6640625" customWidth="1"/>
  </cols>
  <sheetData>
    <row r="1" spans="1:9" s="27" customFormat="1" ht="42.5" customHeight="1" x14ac:dyDescent="0.2">
      <c r="A1" s="158"/>
      <c r="B1" s="159"/>
      <c r="C1" s="160"/>
    </row>
    <row r="2" spans="1:9" s="34" customFormat="1" ht="20" x14ac:dyDescent="0.2">
      <c r="A2" s="161"/>
      <c r="B2" s="162" t="s">
        <v>8</v>
      </c>
      <c r="C2" s="162" t="s">
        <v>590</v>
      </c>
      <c r="D2" s="35"/>
      <c r="E2" s="35"/>
      <c r="F2" s="35"/>
      <c r="G2" s="35"/>
      <c r="H2" s="35"/>
      <c r="I2" s="35"/>
    </row>
    <row r="3" spans="1:9" x14ac:dyDescent="0.2">
      <c r="A3" s="225" t="s">
        <v>586</v>
      </c>
      <c r="B3" s="224" t="s">
        <v>591</v>
      </c>
      <c r="C3" s="164"/>
    </row>
    <row r="4" spans="1:9" x14ac:dyDescent="0.2">
      <c r="A4" s="225"/>
      <c r="B4" s="224"/>
      <c r="C4" s="164"/>
    </row>
    <row r="5" spans="1:9" x14ac:dyDescent="0.2">
      <c r="A5" s="225"/>
      <c r="B5" s="224" t="s">
        <v>592</v>
      </c>
      <c r="C5" s="165"/>
    </row>
    <row r="6" spans="1:9" x14ac:dyDescent="0.2">
      <c r="A6" s="225"/>
      <c r="B6" s="224"/>
      <c r="C6" s="165"/>
    </row>
    <row r="7" spans="1:9" x14ac:dyDescent="0.2">
      <c r="A7" s="225"/>
      <c r="B7" s="224"/>
      <c r="C7" s="165"/>
    </row>
    <row r="8" spans="1:9" x14ac:dyDescent="0.2">
      <c r="A8" s="225" t="s">
        <v>587</v>
      </c>
      <c r="B8" s="224" t="s">
        <v>495</v>
      </c>
      <c r="C8" s="165"/>
    </row>
    <row r="9" spans="1:9" x14ac:dyDescent="0.2">
      <c r="A9" s="225"/>
      <c r="B9" s="224"/>
      <c r="C9" s="165"/>
    </row>
    <row r="10" spans="1:9" x14ac:dyDescent="0.2">
      <c r="A10" s="225"/>
      <c r="B10" s="224" t="s">
        <v>496</v>
      </c>
      <c r="C10" s="165"/>
    </row>
    <row r="11" spans="1:9" x14ac:dyDescent="0.2">
      <c r="A11" s="225"/>
      <c r="B11" s="224"/>
      <c r="C11" s="165"/>
    </row>
    <row r="12" spans="1:9" x14ac:dyDescent="0.2">
      <c r="A12" s="225"/>
      <c r="B12" s="224" t="s">
        <v>497</v>
      </c>
      <c r="C12" s="165"/>
    </row>
    <row r="13" spans="1:9" x14ac:dyDescent="0.2">
      <c r="A13" s="225"/>
      <c r="B13" s="224"/>
      <c r="C13" s="165"/>
    </row>
    <row r="14" spans="1:9" x14ac:dyDescent="0.2">
      <c r="A14" s="225"/>
      <c r="B14" s="224"/>
      <c r="C14" s="165"/>
    </row>
    <row r="15" spans="1:9" x14ac:dyDescent="0.2">
      <c r="A15" s="225"/>
      <c r="B15" s="224" t="s">
        <v>498</v>
      </c>
      <c r="C15" s="223"/>
    </row>
    <row r="16" spans="1:9" x14ac:dyDescent="0.2">
      <c r="A16" s="225"/>
      <c r="B16" s="224"/>
      <c r="C16" s="223"/>
    </row>
    <row r="17" spans="1:3" x14ac:dyDescent="0.2">
      <c r="A17" s="225"/>
      <c r="B17" s="163" t="s">
        <v>499</v>
      </c>
      <c r="C17" s="165"/>
    </row>
    <row r="18" spans="1:3" x14ac:dyDescent="0.2">
      <c r="A18" s="225"/>
      <c r="B18" s="163" t="s">
        <v>500</v>
      </c>
      <c r="C18" s="165"/>
    </row>
    <row r="19" spans="1:3" x14ac:dyDescent="0.2">
      <c r="A19" s="225"/>
      <c r="B19" s="163" t="s">
        <v>501</v>
      </c>
      <c r="C19" s="165"/>
    </row>
    <row r="20" spans="1:3" x14ac:dyDescent="0.2">
      <c r="A20" s="225" t="s">
        <v>588</v>
      </c>
      <c r="B20" s="163" t="s">
        <v>593</v>
      </c>
      <c r="C20" s="165"/>
    </row>
    <row r="21" spans="1:3" x14ac:dyDescent="0.2">
      <c r="A21" s="225"/>
      <c r="B21" s="224" t="s">
        <v>594</v>
      </c>
      <c r="C21" s="165"/>
    </row>
    <row r="22" spans="1:3" x14ac:dyDescent="0.2">
      <c r="A22" s="225"/>
      <c r="B22" s="224"/>
      <c r="C22" s="165"/>
    </row>
    <row r="23" spans="1:3" x14ac:dyDescent="0.2">
      <c r="A23" s="225"/>
      <c r="B23" s="224"/>
      <c r="C23" s="165"/>
    </row>
    <row r="24" spans="1:3" x14ac:dyDescent="0.2">
      <c r="A24" s="225"/>
      <c r="B24" s="224"/>
      <c r="C24" s="165"/>
    </row>
    <row r="25" spans="1:3" x14ac:dyDescent="0.2">
      <c r="A25" s="225"/>
      <c r="B25" s="224"/>
      <c r="C25" s="165"/>
    </row>
    <row r="26" spans="1:3" x14ac:dyDescent="0.2">
      <c r="A26" s="225"/>
      <c r="B26" s="163" t="s">
        <v>595</v>
      </c>
      <c r="C26" s="165"/>
    </row>
    <row r="27" spans="1:3" x14ac:dyDescent="0.2">
      <c r="A27" s="225"/>
      <c r="B27" s="163" t="s">
        <v>585</v>
      </c>
      <c r="C27" s="165"/>
    </row>
    <row r="28" spans="1:3" x14ac:dyDescent="0.2">
      <c r="A28" s="225" t="s">
        <v>589</v>
      </c>
      <c r="B28" s="224" t="s">
        <v>596</v>
      </c>
      <c r="C28" s="166"/>
    </row>
    <row r="29" spans="1:3" x14ac:dyDescent="0.2">
      <c r="A29" s="225"/>
      <c r="B29" s="224"/>
      <c r="C29" s="165"/>
    </row>
    <row r="30" spans="1:3" x14ac:dyDescent="0.2">
      <c r="A30" s="225"/>
      <c r="B30" s="224"/>
      <c r="C30" s="165"/>
    </row>
    <row r="31" spans="1:3" x14ac:dyDescent="0.2">
      <c r="A31" s="225"/>
      <c r="B31" s="224"/>
      <c r="C31" s="165"/>
    </row>
    <row r="32" spans="1:3" x14ac:dyDescent="0.2">
      <c r="A32" s="225"/>
      <c r="B32" s="224"/>
      <c r="C32" s="165"/>
    </row>
    <row r="33" spans="1:3" x14ac:dyDescent="0.2">
      <c r="A33" s="225"/>
      <c r="B33" s="224"/>
      <c r="C33" s="165"/>
    </row>
    <row r="34" spans="1:3" x14ac:dyDescent="0.2">
      <c r="A34" s="225"/>
      <c r="B34" s="224"/>
      <c r="C34" s="165"/>
    </row>
    <row r="35" spans="1:3" x14ac:dyDescent="0.2">
      <c r="A35" s="225"/>
      <c r="B35" s="224"/>
      <c r="C35" s="165"/>
    </row>
    <row r="36" spans="1:3" x14ac:dyDescent="0.2">
      <c r="A36" s="225"/>
      <c r="B36" s="224"/>
      <c r="C36" s="165"/>
    </row>
    <row r="37" spans="1:3" x14ac:dyDescent="0.2">
      <c r="A37" s="225"/>
      <c r="B37" s="224"/>
      <c r="C37" s="165"/>
    </row>
    <row r="38" spans="1:3" x14ac:dyDescent="0.2">
      <c r="A38" s="225"/>
      <c r="B38" s="224"/>
      <c r="C38" s="165"/>
    </row>
    <row r="39" spans="1:3" x14ac:dyDescent="0.2">
      <c r="A39" s="225"/>
      <c r="B39" s="224"/>
      <c r="C39" s="164"/>
    </row>
    <row r="40" spans="1:3" x14ac:dyDescent="0.2">
      <c r="A40" s="225"/>
      <c r="B40" s="224"/>
      <c r="C40" s="165"/>
    </row>
    <row r="41" spans="1:3" x14ac:dyDescent="0.2">
      <c r="A41" s="225"/>
      <c r="B41" s="224"/>
      <c r="C41" s="165"/>
    </row>
    <row r="42" spans="1:3" x14ac:dyDescent="0.2">
      <c r="A42" s="225"/>
      <c r="B42" s="163" t="s">
        <v>597</v>
      </c>
      <c r="C42" s="165"/>
    </row>
    <row r="43" spans="1:3" x14ac:dyDescent="0.2">
      <c r="A43" s="225"/>
      <c r="B43" s="163" t="s">
        <v>598</v>
      </c>
      <c r="C43" s="165"/>
    </row>
  </sheetData>
  <mergeCells count="13">
    <mergeCell ref="C15:C16"/>
    <mergeCell ref="B21:B25"/>
    <mergeCell ref="B28:B41"/>
    <mergeCell ref="A3:A7"/>
    <mergeCell ref="A8:A19"/>
    <mergeCell ref="A20:A27"/>
    <mergeCell ref="A28:A43"/>
    <mergeCell ref="B3:B4"/>
    <mergeCell ref="B5:B7"/>
    <mergeCell ref="B8:B9"/>
    <mergeCell ref="B10:B11"/>
    <mergeCell ref="B12:B14"/>
    <mergeCell ref="B15:B1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H2"/>
  <sheetViews>
    <sheetView workbookViewId="0">
      <selection activeCell="A41" sqref="A41"/>
    </sheetView>
  </sheetViews>
  <sheetFormatPr baseColWidth="10" defaultColWidth="8.6640625" defaultRowHeight="13" x14ac:dyDescent="0.15"/>
  <cols>
    <col min="1" max="1" width="54.33203125" style="15" bestFit="1" customWidth="1"/>
    <col min="2" max="16384" width="8.6640625" style="15"/>
  </cols>
  <sheetData>
    <row r="1" spans="1:8" s="27" customFormat="1" ht="29.25" customHeight="1" x14ac:dyDescent="0.2">
      <c r="A1" s="33"/>
      <c r="B1" s="32"/>
    </row>
    <row r="2" spans="1:8" s="34" customFormat="1" ht="29.25" customHeight="1" x14ac:dyDescent="0.2">
      <c r="A2" s="195" t="s">
        <v>47</v>
      </c>
      <c r="B2" s="195"/>
      <c r="C2" s="35"/>
      <c r="D2" s="35"/>
      <c r="E2" s="35"/>
      <c r="F2" s="35"/>
      <c r="G2" s="35"/>
      <c r="H2" s="35"/>
    </row>
  </sheetData>
  <mergeCells count="1">
    <mergeCell ref="A2:B2"/>
  </mergeCells>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18DD3555323A48AA71079967354AAC" ma:contentTypeVersion="10" ma:contentTypeDescription="Create a new document." ma:contentTypeScope="" ma:versionID="dd6e9efe502a178b1bcb9f672e9cab0a">
  <xsd:schema xmlns:xsd="http://www.w3.org/2001/XMLSchema" xmlns:xs="http://www.w3.org/2001/XMLSchema" xmlns:p="http://schemas.microsoft.com/office/2006/metadata/properties" xmlns:ns2="12e89c07-113f-4152-babf-44fabb0c2224" xmlns:ns3="73a59970-860f-4182-8fd1-496de7ce1a9d" targetNamespace="http://schemas.microsoft.com/office/2006/metadata/properties" ma:root="true" ma:fieldsID="845f65ac9eddf6d4ed858d6d154ec373" ns2:_="" ns3:_="">
    <xsd:import namespace="12e89c07-113f-4152-babf-44fabb0c2224"/>
    <xsd:import namespace="73a59970-860f-4182-8fd1-496de7ce1a9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e89c07-113f-4152-babf-44fabb0c22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a59970-860f-4182-8fd1-496de7ce1a9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043A09-1544-49DB-BF78-F92E09457F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e89c07-113f-4152-babf-44fabb0c2224"/>
    <ds:schemaRef ds:uri="73a59970-860f-4182-8fd1-496de7ce1a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8ABF10-F26C-415B-B964-922FF3054E0C}">
  <ds:schemaRefs>
    <ds:schemaRef ds:uri="http://schemas.microsoft.com/sharepoint/v3/contenttype/forms"/>
  </ds:schemaRefs>
</ds:datastoreItem>
</file>

<file path=customXml/itemProps3.xml><?xml version="1.0" encoding="utf-8"?>
<ds:datastoreItem xmlns:ds="http://schemas.openxmlformats.org/officeDocument/2006/customXml" ds:itemID="{E8E55954-2AB8-42AE-AB42-224FC813B8D1}">
  <ds:schemaRefs>
    <ds:schemaRef ds:uri="http://schemas.microsoft.com/office/2006/documentManagement/types"/>
    <ds:schemaRef ds:uri="2d85fd21-8b81-46b7-aaf7-5b0a877101c6"/>
    <ds:schemaRef ds:uri="http://www.w3.org/XML/1998/namespace"/>
    <ds:schemaRef ds:uri="7AF0C9C1-571A-469E-93FE-640E88AEF1EC"/>
    <ds:schemaRef ds:uri="http://purl.org/dc/dcmitype/"/>
    <ds:schemaRef ds:uri="546D9DE3-080E-4EC6-B7DD-508C11F603C7"/>
    <ds:schemaRef ds:uri="http://schemas.microsoft.com/sharepoint/v3"/>
    <ds:schemaRef ds:uri="a3273937-55e7-450c-ac1f-0f7de532f690"/>
    <ds:schemaRef ds:uri="83DDB362-4C05-4E52-A8D9-EF2F47978B8D"/>
    <ds:schemaRef ds:uri="http://schemas.microsoft.com/office/infopath/2007/PartnerControls"/>
    <ds:schemaRef ds:uri="http://schemas.openxmlformats.org/package/2006/metadata/core-properties"/>
    <ds:schemaRef ds:uri="7D1768DD-F29E-4DC2-9191-F2636B9FA92C"/>
    <ds:schemaRef ds:uri="8DD08C88-CC4C-4D35-9129-A70DAA36BE5E"/>
    <ds:schemaRef ds:uri="106090da-c549-49f4-ac2c-5260f57025af"/>
    <ds:schemaRef ds:uri="http://purl.org/dc/elements/1.1/"/>
    <ds:schemaRef ds:uri="0DBE4740-AD0E-4EAB-9055-8EB1C48284D9"/>
    <ds:schemaRef ds:uri="5A51C775-C49C-428B-8C1E-2F89178D00F4"/>
    <ds:schemaRef ds:uri="3A0186DE-B11E-4A29-9C82-428D45BCA71F"/>
    <ds:schemaRef ds:uri="39C40E9B-856B-46A7-8793-65A6FC1828D8"/>
    <ds:schemaRef ds:uri="http://schemas.microsoft.com/office/2006/metadata/properties"/>
    <ds:schemaRef ds:uri="994E32D3-2E21-4611-87E1-D68FC0813440"/>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114</vt:i4>
      </vt:variant>
    </vt:vector>
  </HeadingPairs>
  <TitlesOfParts>
    <vt:vector size="124" baseType="lpstr">
      <vt:lpstr>Introduction</vt:lpstr>
      <vt:lpstr>CSF Tiers</vt:lpstr>
      <vt:lpstr>SUMMARY-All Categories</vt:lpstr>
      <vt:lpstr>1-PREPARATION (PR)</vt:lpstr>
      <vt:lpstr>2-DETECTION &amp; ANALYSIS (DA)</vt:lpstr>
      <vt:lpstr>3-C,E &amp; R (CER)</vt:lpstr>
      <vt:lpstr>4-POST INCIDENT ACTIVITY (PIA)</vt:lpstr>
      <vt:lpstr>CSF Core</vt:lpstr>
      <vt:lpstr>Gaps</vt:lpstr>
      <vt:lpstr>Recommendations</vt:lpstr>
      <vt:lpstr>Access_Control__PR.AC___Access_to_assets_and_associated_facilities_is_limited_to_authorized_users__processes__or_devices__and_to_authorized_activities_and_transactions.</vt:lpstr>
      <vt:lpstr>Access_Control__PR.AC__Total</vt:lpstr>
      <vt:lpstr>Analysis__RS.AN__Total</vt:lpstr>
      <vt:lpstr>Anomalies_and_Events__DE.AE__Total</vt:lpstr>
      <vt:lpstr>Asset_Management__ID.AM__Total</vt:lpstr>
      <vt:lpstr>Awareness_and_Training__PR.AT__Total</vt:lpstr>
      <vt:lpstr>Business_Environment__ID.BE__Total</vt:lpstr>
      <vt:lpstr>Communications__RC.CO___Restoration_activities_are_coordinated_with_internal_and_external_parties__such_as_coordinating_centers__Internet_Service_Providers__owners_of_attacking_systems__victims__other_CSIRTs__and_vendors.</vt:lpstr>
      <vt:lpstr>Communications__RS.CO__Total</vt:lpstr>
      <vt:lpstr>Data_Security__PR.DS__Total</vt:lpstr>
      <vt:lpstr>DE.AE_1__A_baseline_of_network_operations_and_expected_data_flows_for_users_and_systems_is_established_and_managed</vt:lpstr>
      <vt:lpstr>DE.AE_2__Detected_events_are_analyzed_to_understand_attack_targets_and_methods</vt:lpstr>
      <vt:lpstr>DE.AE_3__Event_data_are_aggregated_and_correlated_from_multiple_sources_and_sensors</vt:lpstr>
      <vt:lpstr>DE.AE_4__Impact_of_events_is_determined</vt:lpstr>
      <vt:lpstr>DE.AE_5__Incident_alert_thresholds_are_established</vt:lpstr>
      <vt:lpstr>DE.CM_1__The_network_is_monitored_to_detect_potential_cybersecurity_events</vt:lpstr>
      <vt:lpstr>DE.CM_2__The_physical_environment_is_monitored_to_detect_potential_cybersecurity_events</vt:lpstr>
      <vt:lpstr>DE.CM_3__Personnel_activity_is_monitored_to_detect_potential_cybersecurity_events</vt:lpstr>
      <vt:lpstr>DE.CM_4__Malicious_code_is_detected</vt:lpstr>
      <vt:lpstr>DE.CM_5__Unauthorized_mobile_code_is_detected</vt:lpstr>
      <vt:lpstr>DE.CM_6__External_service_provider_activity_is_monitored_to_detect_potential_cybersecurity_events</vt:lpstr>
      <vt:lpstr>DE.CM_7__Monitoring_for_unauthorized_personnel__connections__devices__and_software_is_performed</vt:lpstr>
      <vt:lpstr>DE.CM_8__Vulnerability_scans_are_performed</vt:lpstr>
      <vt:lpstr>DE.DP_1__Roles_and_responsibilities_for_detection_are_well_defined_to_ensure_accountability</vt:lpstr>
      <vt:lpstr>DE.DP_2__Detection_activities_comply_with_all_applicable_requirements</vt:lpstr>
      <vt:lpstr>DE.DP_3__Detection_processes_are_tested</vt:lpstr>
      <vt:lpstr>DE.DP_4__Event_detection_information_is_communicated_to_appropriate_parties</vt:lpstr>
      <vt:lpstr>DE.DP_5__Detection_processes_are_continuously_improved</vt:lpstr>
      <vt:lpstr>Detection_Processes__DE.DP__Total</vt:lpstr>
      <vt:lpstr>ID.BE_3</vt:lpstr>
      <vt:lpstr>ID.BE_3__Priorities_for_organizational_mission__objectives__and_activities_are_established_and_communicated</vt:lpstr>
      <vt:lpstr>ID.BE_4__Dependencies_and_critical_functions_for_delivery_of_critical_services_are_established</vt:lpstr>
      <vt:lpstr>ID.BE_5__Resilience_requirements_to_support_delivery_of_critical_services_are_established</vt:lpstr>
      <vt:lpstr>ID.GV_1__Organizational_information_security_policy_is_established</vt:lpstr>
      <vt:lpstr>ID.GV_2__Information_security_roles___responsibilities_are_coordinated_and_aligned_with_internal_roles_and_external_partners</vt:lpstr>
      <vt:lpstr>ID.GV_3__Legal_and_regulatory_requirements_regarding_cybersecurity__including_privacy_and_civil_liberties_obligations__are_understood_and_managed</vt:lpstr>
      <vt:lpstr>ID.GV_4__Governance_and_risk_management_processes_address_cybersecurity_risks</vt:lpstr>
      <vt:lpstr>ID.RA_1__Asset_vulnerabilities_are_identified_and_documented</vt:lpstr>
      <vt:lpstr>ID.RA_2__Threat_and_vulnerability_information_is_received_from_information_sharing_forums_and_sources</vt:lpstr>
      <vt:lpstr>ID.RA_3__Threats__both_internal_and_external__are_identified_and_documented</vt:lpstr>
      <vt:lpstr>ID.RA_4__Potential_business_impacts_and_likelihoods_are_identified</vt:lpstr>
      <vt:lpstr>ID.RA_5__Threats__vulnerabilities__likelihoods__and_impacts_are_used_to_determine_risk</vt:lpstr>
      <vt:lpstr>ID.RA_6__Risk_responses_are_identified_and_prioritized</vt:lpstr>
      <vt:lpstr>ID.RM_1__Risk_management_processes_are_established__managed__and_agreed_to_by_organizational_stakeholders</vt:lpstr>
      <vt:lpstr>ID.RM_2__Organizational_risk_tolerance_is_determined_and_clearly_expressed</vt:lpstr>
      <vt:lpstr>ID.RM_3__The_organization’s_determination_of_risk_tolerance_is_informed_by_its_role_in_critical_infrastructure_and_sector_specific_risk_analysis</vt:lpstr>
      <vt:lpstr>Information_Protection_Processes_and_Procedures__PR.IP__Total</vt:lpstr>
      <vt:lpstr>Maintenance__PR.MA__Total</vt:lpstr>
      <vt:lpstr>PR.AC_1__Identities_and_credentials_are_managed_for_authorized_devices_and_users</vt:lpstr>
      <vt:lpstr>PR.AC_2__Physical_access_to_assets_is_managed_and_protected</vt:lpstr>
      <vt:lpstr>PR.AC_3__Remote_access_is_managed</vt:lpstr>
      <vt:lpstr>PR.AC_4__Access_permissions_are_managed__incorporating_the_principles_of_least_privilege_and_separation_of_duties</vt:lpstr>
      <vt:lpstr>PR.AC_5__Network_integrity_is_protected__incorporating_network_segregation_where_appropriate</vt:lpstr>
      <vt:lpstr>PR.AT_1__All_users_are_informed_and_trained</vt:lpstr>
      <vt:lpstr>PR.AT_2__Privileged_users_understand_roles___responsibilities</vt:lpstr>
      <vt:lpstr>PR.AT_3__Third_party_stakeholders__e.g.__suppliers__customers__partners__understand_roles___responsibilities</vt:lpstr>
      <vt:lpstr>PR.AT_4__Senior_executives_understand_roles___responsibilities</vt:lpstr>
      <vt:lpstr>PR.AT_5__Physical_and_information_security_personnel_understand_roles___responsibilities</vt:lpstr>
      <vt:lpstr>PR.DS_1__Data_at_rest_is_protected</vt:lpstr>
      <vt:lpstr>PR.DS_2__Data_in_transit_is_protected</vt:lpstr>
      <vt:lpstr>PR.DS_3__Assets_are_formally_managed_throughout_removal__transfers__and_disposition</vt:lpstr>
      <vt:lpstr>PR.DS_4__Adequate_capacity_to_ensure_availability_is_maintained</vt:lpstr>
      <vt:lpstr>PR.DS_5__Protections_against_data_leaks_are_implemented</vt:lpstr>
      <vt:lpstr>PR.DS_6__Integrity_checking_mechanisms_are_used_to_verify_software__firmware__and_information_integrity</vt:lpstr>
      <vt:lpstr>PR.DS_7__The_development_and_testing_environment_s__are_separate_from_the_production_environment</vt:lpstr>
      <vt:lpstr>PR.IP_1__A_baseline_configuration_of_information_technology_industrial_control_systems_is_created_and_maintained</vt:lpstr>
      <vt:lpstr>PR.IP_10__Response_and_recovery_plans_are_tested</vt:lpstr>
      <vt:lpstr>PR.IP_11__Cybersecurity_is_included_in_human_resources_practices__e.g.__deprovisioning__personnel_screening</vt:lpstr>
      <vt:lpstr>PR.IP_12__A_vulnerability_management_plan_is_developed_and_implemented</vt:lpstr>
      <vt:lpstr>PR.IP_2__A_System_Development_Life_Cycle_to_manage_systems_is_implemented</vt:lpstr>
      <vt:lpstr>PR.IP_3__Configuration_change_control_processes_are_in_place</vt:lpstr>
      <vt:lpstr>PR.IP_4__Backups_of_information_are_conducted__maintained__and_tested_periodically</vt:lpstr>
      <vt:lpstr>PR.IP_5__Policy_and_regulations_regarding_the_physical_operating_environment_for_organizational_assets_are_met</vt:lpstr>
      <vt:lpstr>PR.IP_6__Data_is_destroyed_according_to_policy</vt:lpstr>
      <vt:lpstr>PR.IP_7__Protection_processes_are_continuously_improved</vt:lpstr>
      <vt:lpstr>PR.IP_8__Effectiveness_of_protection_technologies_is_shared_with_appropriate_parties</vt:lpstr>
      <vt:lpstr>PR.IP_9__Response_plans__Incident_Response_and_Business_Continuity__and_recovery_plans__Incident_Recovery_and_Disaster_Recovery__are_in_place_and_managed</vt:lpstr>
      <vt:lpstr>PR.MA_1__Maintenance_and_repair_of_organizational_assets_is_performed_and_logged_in_a_timely_manner__with_approved_and_controlled_tools</vt:lpstr>
      <vt:lpstr>PR.MA_2__Remote_maintenance_of_organizational_assets_is_approved__logged__and_performed_in_a_manner_that_prevents_unauthorized_access</vt:lpstr>
      <vt:lpstr>PR.PT_1__Audit_log_records_are_determined__documented__implemented__and_reviewed_in_accordance_with_policy</vt:lpstr>
      <vt:lpstr>PR.PT_2__Removable_media_is_protected_and_its_use_restricted_according_to_policy</vt:lpstr>
      <vt:lpstr>PR.PT_3__Access_to_systems_and_assets_is_controlled__incorporating_the_principle_of_least_functionality</vt:lpstr>
      <vt:lpstr>PR.PT_4__Communications_and_control_networks_are_protected</vt:lpstr>
      <vt:lpstr>'4-POST INCIDENT ACTIVITY (PIA)'!Print_Area</vt:lpstr>
      <vt:lpstr>'4-POST INCIDENT ACTIVITY (PIA)'!Print_Titles</vt:lpstr>
      <vt:lpstr>Protective_Technology__PR.PT__Total</vt:lpstr>
      <vt:lpstr>rc.co_1</vt:lpstr>
      <vt:lpstr>RC.CO_1__Public_relations_are_managed</vt:lpstr>
      <vt:lpstr>rc.co_2</vt:lpstr>
      <vt:lpstr>RC.CO_2__Reputation_after_an_event_is_repaired</vt:lpstr>
      <vt:lpstr>rc.co_3</vt:lpstr>
      <vt:lpstr>RC.CO_3__Recovery_activities_are_communicated_to_internal_stakeholders_and_executive_and_management_teams</vt:lpstr>
      <vt:lpstr>rc.im_1</vt:lpstr>
      <vt:lpstr>RC.IM_1__Recovery_plans_incorporate_lessons_learned</vt:lpstr>
      <vt:lpstr>rc.im_2</vt:lpstr>
      <vt:lpstr>RC.IM_2__Recovery_strategies_are_updated</vt:lpstr>
      <vt:lpstr>RC.RP_1__Recovery_plan_is_executed_during_or_after_an_event</vt:lpstr>
      <vt:lpstr>Response_Planning__RS.RP__Total</vt:lpstr>
      <vt:lpstr>RS.AN_1__Notifications_from_detection_systems_are_investigated</vt:lpstr>
      <vt:lpstr>RS.AN_2__The_impact_of_the_incident_is_understood</vt:lpstr>
      <vt:lpstr>RS.AN_3__Forensics_are_performed</vt:lpstr>
      <vt:lpstr>RS.AN_4__Incidents_are_categorized_consistent_with_response_plans</vt:lpstr>
      <vt:lpstr>RS.CO_1__Personnel_know_their_roles_and_order_of_operations_when_a_response_is_needed</vt:lpstr>
      <vt:lpstr>RS.CO_2__Events_are_reported_consistent_with_established_criteria</vt:lpstr>
      <vt:lpstr>RS.CO_3__Information_is_shared_consistent_with_response_plans</vt:lpstr>
      <vt:lpstr>RS.CO_4__Coordination_with_stakeholders_occurs_consistent_with_response_plans</vt:lpstr>
      <vt:lpstr>RS.CO_5__Voluntary_information_sharing_occurs_with_external_stakeholders_to_achieve_broader_cybersecurity_situational_awareness</vt:lpstr>
      <vt:lpstr>RS.IM_1__Response_plans_incorporate_lessons_learned</vt:lpstr>
      <vt:lpstr>RS.IM_2__Response_strategies_are_updated</vt:lpstr>
      <vt:lpstr>RS.MI_1__Incidents_are_contained</vt:lpstr>
      <vt:lpstr>RS.MI_2__Incidents_are_mitigated</vt:lpstr>
      <vt:lpstr>RS.MI_3__Newly_identified_vulnerabilities_are_mitigated_or_documented_as_accepted_risks</vt:lpstr>
      <vt:lpstr>RS.RP_1__Response_plan_is_executed_during_or_after_an_event</vt:lpstr>
      <vt:lpstr>Security_Continuous_Monitoring__DE.CM__Total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2025-08-30T18:03:43Z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0x0101000418DD3555323A48AA71079967354AAC</vt:lpwstr>
  </property>
  <property fmtid="{D5CDD505-2E9C-101B-9397-08002B2CF9AE}" pid="3" name="ItemRetentionFormula">
    <vt:lpwstr>&lt;formula id="Microsoft.Office.RecordsManagement.PolicyFeatures.Expiration.Formula.BuiltIn"&gt;&lt;number&gt;2&lt;/number&gt;&lt;property&gt;Created&lt;/property&gt;&lt;propertyId&gt;8c06beca-0777-48f7-91c7-6da68bc07b69&lt;/propertyId&gt;&lt;period&gt;days&lt;/period&gt;&lt;/formula&gt;</vt:lpwstr>
  </property>
  <property fmtid="{D5CDD505-2E9C-101B-9397-08002B2CF9AE}" pid="4" name="_dlc_policyId">
    <vt:lpwstr>0x0101002472AAFDC3CE0E4789A7CE0D63B2DC2C|-967715278</vt:lpwstr>
  </property>
  <property fmtid="{D5CDD505-2E9C-101B-9397-08002B2CF9AE}" pid="5" name="KAM LanguageTaxHTField0">
    <vt:lpwstr>English (EN) (1787)|b169a262-1aaa-4ccb-9acf-78a36c1d9bab</vt:lpwstr>
  </property>
  <property fmtid="{D5CDD505-2E9C-101B-9397-08002B2CF9AE}" pid="6" name="TaxCatchAll">
    <vt:lpwstr>5;#English (EN) (1787);#1;#Category D (49779)</vt:lpwstr>
  </property>
  <property fmtid="{D5CDD505-2E9C-101B-9397-08002B2CF9AE}" pid="7" name="IPCO DesignationTaxHTField">
    <vt:lpwstr>Category D (49779)|6beabd35-70fc-44be-b98d-13dcb9eae7d9</vt:lpwstr>
  </property>
  <property fmtid="{D5CDD505-2E9C-101B-9397-08002B2CF9AE}" pid="8" name="_dlc_DocIdItemGuid">
    <vt:lpwstr>084bf735-c896-40b9-9288-db8af0f10e00</vt:lpwstr>
  </property>
  <property fmtid="{D5CDD505-2E9C-101B-9397-08002B2CF9AE}" pid="9" name="Geography of Origin">
    <vt:lpwstr>2121;#Americas (Region):United States:United States (US)|8cb0099f-1dbf-4b3c-9b7f-d98051a79fa3</vt:lpwstr>
  </property>
  <property fmtid="{D5CDD505-2E9C-101B-9397-08002B2CF9AE}" pid="10" name="KAM Language">
    <vt:lpwstr>6;#English|b169a262-1aaa-4ccb-9acf-78a36c1d9bab</vt:lpwstr>
  </property>
  <property fmtid="{D5CDD505-2E9C-101B-9397-08002B2CF9AE}" pid="11" name="Primary Global Client">
    <vt:lpwstr>61;#Risk Advisory:Cyber and Strategic Risk:Cyber|007c384d-82a3-4959-8149-732c72a3e980</vt:lpwstr>
  </property>
  <property fmtid="{D5CDD505-2E9C-101B-9397-08002B2CF9AE}" pid="12" name="Secondary Global Clie">
    <vt:lpwstr>4318;#Risk Advisory:Regulatory and Legal Support:Regulatory and Compliance|50b25176-9c8e-4d6e-aff4-5e8763e459a3</vt:lpwstr>
  </property>
  <property fmtid="{D5CDD505-2E9C-101B-9397-08002B2CF9AE}" pid="13" name="Primary Global Indust">
    <vt:lpwstr>344;#Technology, Media and Telecommunications:Technology:Technology Services|513cdff6-ff48-4919-83be-6732cab864da</vt:lpwstr>
  </property>
  <property fmtid="{D5CDD505-2E9C-101B-9397-08002B2CF9AE}" pid="14" name="Global Content Type">
    <vt:lpwstr>118;#Templates:Deliverable Templates|db988a17-066d-4b80-884a-8ad3dfe301fa</vt:lpwstr>
  </property>
  <property fmtid="{D5CDD505-2E9C-101B-9397-08002B2CF9AE}" pid="15" name="Local Internal Service">
    <vt:lpwstr/>
  </property>
  <property fmtid="{D5CDD505-2E9C-101B-9397-08002B2CF9AE}" pid="16" name="Global Internal Service">
    <vt:lpwstr/>
  </property>
  <property fmtid="{D5CDD505-2E9C-101B-9397-08002B2CF9AE}" pid="17" name="Secondary Local Clie">
    <vt:lpwstr>4332;#United States:Deloitte Risk and Financial Advisory:Regulatory and Legal Support:Disputes and Litigation|afb818b3-b5c9-44c3-aac9-00e353c9789c</vt:lpwstr>
  </property>
  <property fmtid="{D5CDD505-2E9C-101B-9397-08002B2CF9AE}" pid="18" name="IPCO Designation">
    <vt:lpwstr>7;#May be edited and used internally or externally for any purpose (Category D)|f8400f62-65c9-4658-9900-b0ea185e4722</vt:lpwstr>
  </property>
  <property fmtid="{D5CDD505-2E9C-101B-9397-08002B2CF9AE}" pid="19" name="Secondary Global Indu">
    <vt:lpwstr/>
  </property>
  <property fmtid="{D5CDD505-2E9C-101B-9397-08002B2CF9AE}" pid="20" name="Local Content Type">
    <vt:lpwstr>117;#Global:Templates:Deliverable Templates|db988a17-066d-4b80-884a-8ad3dfe301fa</vt:lpwstr>
  </property>
  <property fmtid="{D5CDD505-2E9C-101B-9397-08002B2CF9AE}" pid="21" name="Badge">
    <vt:lpwstr/>
  </property>
  <property fmtid="{D5CDD505-2E9C-101B-9397-08002B2CF9AE}" pid="22" name="Applicable Geography">
    <vt:lpwstr>5;#Global|f12aef73-b423-4016-a43f-15722d3a0a5e</vt:lpwstr>
  </property>
  <property fmtid="{D5CDD505-2E9C-101B-9397-08002B2CF9AE}" pid="23" name="Secondary Local Indu">
    <vt:lpwstr/>
  </property>
  <property fmtid="{D5CDD505-2E9C-101B-9397-08002B2CF9AE}" pid="24" name="_dlc_ExpireDate">
    <vt:filetime>2015-11-13T14:58:00Z</vt:filetime>
  </property>
  <property fmtid="{D5CDD505-2E9C-101B-9397-08002B2CF9AE}" pid="25" name="odf318f5c2004e70867d193ade101e23">
    <vt:lpwstr/>
  </property>
  <property fmtid="{D5CDD505-2E9C-101B-9397-08002B2CF9AE}" pid="26" name="Tax Specialty Area">
    <vt:lpwstr/>
  </property>
  <property fmtid="{D5CDD505-2E9C-101B-9397-08002B2CF9AE}" pid="27" name="c9de60e3e90d439b9f2e9ff9e9bb3430">
    <vt:lpwstr/>
  </property>
  <property fmtid="{D5CDD505-2E9C-101B-9397-08002B2CF9AE}" pid="28" name="Tax Entity">
    <vt:lpwstr/>
  </property>
  <property fmtid="{D5CDD505-2E9C-101B-9397-08002B2CF9AE}" pid="29" name="Disclaimer">
    <vt:lpwstr/>
  </property>
  <property fmtid="{D5CDD505-2E9C-101B-9397-08002B2CF9AE}" pid="30" name="Business Issues">
    <vt:lpwstr/>
  </property>
  <property fmtid="{D5CDD505-2E9C-101B-9397-08002B2CF9AE}" pid="31" name="g90a876a54e747069fde5360881b9933">
    <vt:lpwstr/>
  </property>
  <property fmtid="{D5CDD505-2E9C-101B-9397-08002B2CF9AE}" pid="32" name="Tax Jurisdiction">
    <vt:lpwstr/>
  </property>
  <property fmtid="{D5CDD505-2E9C-101B-9397-08002B2CF9AE}" pid="33" name="f728aa9b7f954afcaec8cf5ce49c0187">
    <vt:lpwstr/>
  </property>
  <property fmtid="{D5CDD505-2E9C-101B-9397-08002B2CF9AE}" pid="34" name="External_Organization">
    <vt:lpwstr/>
  </property>
  <property fmtid="{D5CDD505-2E9C-101B-9397-08002B2CF9AE}" pid="35" name="Classification">
    <vt:lpwstr/>
  </property>
  <property fmtid="{D5CDD505-2E9C-101B-9397-08002B2CF9AE}" pid="36" name="System SourceTaxHTField0">
    <vt:lpwstr/>
  </property>
  <property fmtid="{D5CDD505-2E9C-101B-9397-08002B2CF9AE}" pid="37" name="General Business Topic">
    <vt:lpwstr/>
  </property>
  <property fmtid="{D5CDD505-2E9C-101B-9397-08002B2CF9AE}" pid="38" name="fd6bbc6c2e4940e0b736c9655d0b1c67">
    <vt:lpwstr/>
  </property>
  <property fmtid="{D5CDD505-2E9C-101B-9397-08002B2CF9AE}" pid="39" name="Deloitte Method Task">
    <vt:lpwstr/>
  </property>
  <property fmtid="{D5CDD505-2E9C-101B-9397-08002B2CF9AE}" pid="40" name="Method Discipline">
    <vt:lpwstr/>
  </property>
  <property fmtid="{D5CDD505-2E9C-101B-9397-08002B2CF9AE}" pid="41" name="gf661b68b929437daba08b54bbabff36">
    <vt:lpwstr/>
  </property>
  <property fmtid="{D5CDD505-2E9C-101B-9397-08002B2CF9AE}" pid="42" name="c1e1756b05e942aa8382e8ad470dc923">
    <vt:lpwstr/>
  </property>
  <property fmtid="{D5CDD505-2E9C-101B-9397-08002B2CF9AE}" pid="43" name="b205268b00054b168d473f2c9299ca3f">
    <vt:lpwstr/>
  </property>
  <property fmtid="{D5CDD505-2E9C-101B-9397-08002B2CF9AE}" pid="44" name="Business IssuesTaxHTField">
    <vt:lpwstr/>
  </property>
  <property fmtid="{D5CDD505-2E9C-101B-9397-08002B2CF9AE}" pid="45" name="Deloitte Tool">
    <vt:lpwstr/>
  </property>
  <property fmtid="{D5CDD505-2E9C-101B-9397-08002B2CF9AE}" pid="46" name="e7ca0883df3147c8a1187500dc55843a">
    <vt:lpwstr/>
  </property>
  <property fmtid="{D5CDD505-2E9C-101B-9397-08002B2CF9AE}" pid="47" name="ClassificationTaxHTField0">
    <vt:lpwstr/>
  </property>
  <property fmtid="{D5CDD505-2E9C-101B-9397-08002B2CF9AE}" pid="48" name="Publishing Owning Te0">
    <vt:lpwstr/>
  </property>
  <property fmtid="{D5CDD505-2E9C-101B-9397-08002B2CF9AE}" pid="49" name="oab0afb743884474a6cbf2d3b310bd05">
    <vt:lpwstr/>
  </property>
  <property fmtid="{D5CDD505-2E9C-101B-9397-08002B2CF9AE}" pid="50" name="g72f13cd53d8431d9a1ddb0a8e5a57bc">
    <vt:lpwstr/>
  </property>
  <property fmtid="{D5CDD505-2E9C-101B-9397-08002B2CF9AE}" pid="51" name="m553fc83c9f3478f9e79d248cf4f343f">
    <vt:lpwstr/>
  </property>
  <property fmtid="{D5CDD505-2E9C-101B-9397-08002B2CF9AE}" pid="52" name="Targeted Audience">
    <vt:lpwstr/>
  </property>
  <property fmtid="{D5CDD505-2E9C-101B-9397-08002B2CF9AE}" pid="53" name="b0201f3937364d799930ae17e15a01ce">
    <vt:lpwstr/>
  </property>
  <property fmtid="{D5CDD505-2E9C-101B-9397-08002B2CF9AE}" pid="54" name="n78ca540bead4842bdca414d7557030f">
    <vt:lpwstr/>
  </property>
  <property fmtid="{D5CDD505-2E9C-101B-9397-08002B2CF9AE}" pid="55" name="Contributor Geography">
    <vt:lpwstr/>
  </property>
  <property fmtid="{D5CDD505-2E9C-101B-9397-08002B2CF9AE}" pid="56" name="Publishing Owning Te">
    <vt:lpwstr/>
  </property>
  <property fmtid="{D5CDD505-2E9C-101B-9397-08002B2CF9AE}" pid="57" name="AllowedSecurityGroupT">
    <vt:lpwstr/>
  </property>
  <property fmtid="{D5CDD505-2E9C-101B-9397-08002B2CF9AE}" pid="58" name="_docset_NoMedatataSyncRequired">
    <vt:lpwstr>False</vt:lpwstr>
  </property>
  <property fmtid="{D5CDD505-2E9C-101B-9397-08002B2CF9AE}" pid="59" name="System Source">
    <vt:lpwstr/>
  </property>
  <property fmtid="{D5CDD505-2E9C-101B-9397-08002B2CF9AE}" pid="60" name="Primary Local Client">
    <vt:lpwstr>4343;#United States:Deloitte Risk and Financial Advisory:Cyber and Strategic Risk:Cyber|3a521319-b48b-4d48-ac41-34246c010726</vt:lpwstr>
  </property>
  <property fmtid="{D5CDD505-2E9C-101B-9397-08002B2CF9AE}" pid="61" name="Method Document Type">
    <vt:lpwstr/>
  </property>
  <property fmtid="{D5CDD505-2E9C-101B-9397-08002B2CF9AE}" pid="62" name="Primary Local Indust">
    <vt:lpwstr/>
  </property>
  <property fmtid="{D5CDD505-2E9C-101B-9397-08002B2CF9AE}" pid="63" name="Method Document">
    <vt:lpwstr/>
  </property>
  <property fmtid="{D5CDD505-2E9C-101B-9397-08002B2CF9AE}" pid="64" name="KAMDisplayFormUrl">
    <vt:lpwstr>https://www.km.deloitteresources.com/sites/live/_layouts/dtts.dr.kamdocumentforms/displayformredirect.aspx?id=KMIP-2836843</vt:lpwstr>
  </property>
  <property fmtid="{D5CDD505-2E9C-101B-9397-08002B2CF9AE}" pid="65" name="MSIP_Label_ea60d57e-af5b-4752-ac57-3e4f28ca11dc_Enabled">
    <vt:lpwstr>true</vt:lpwstr>
  </property>
  <property fmtid="{D5CDD505-2E9C-101B-9397-08002B2CF9AE}" pid="66" name="MSIP_Label_ea60d57e-af5b-4752-ac57-3e4f28ca11dc_SetDate">
    <vt:lpwstr>2022-02-04T08:20:37Z</vt:lpwstr>
  </property>
  <property fmtid="{D5CDD505-2E9C-101B-9397-08002B2CF9AE}" pid="67" name="MSIP_Label_ea60d57e-af5b-4752-ac57-3e4f28ca11dc_Method">
    <vt:lpwstr>Standard</vt:lpwstr>
  </property>
  <property fmtid="{D5CDD505-2E9C-101B-9397-08002B2CF9AE}" pid="68" name="MSIP_Label_ea60d57e-af5b-4752-ac57-3e4f28ca11dc_Name">
    <vt:lpwstr>ea60d57e-af5b-4752-ac57-3e4f28ca11dc</vt:lpwstr>
  </property>
  <property fmtid="{D5CDD505-2E9C-101B-9397-08002B2CF9AE}" pid="69" name="MSIP_Label_ea60d57e-af5b-4752-ac57-3e4f28ca11dc_SiteId">
    <vt:lpwstr>36da45f1-dd2c-4d1f-af13-5abe46b99921</vt:lpwstr>
  </property>
  <property fmtid="{D5CDD505-2E9C-101B-9397-08002B2CF9AE}" pid="70" name="MSIP_Label_ea60d57e-af5b-4752-ac57-3e4f28ca11dc_ActionId">
    <vt:lpwstr>26f1e695-35a1-4466-96cf-8408cfda1947</vt:lpwstr>
  </property>
  <property fmtid="{D5CDD505-2E9C-101B-9397-08002B2CF9AE}" pid="71" name="MSIP_Label_ea60d57e-af5b-4752-ac57-3e4f28ca11dc_ContentBits">
    <vt:lpwstr>0</vt:lpwstr>
  </property>
</Properties>
</file>